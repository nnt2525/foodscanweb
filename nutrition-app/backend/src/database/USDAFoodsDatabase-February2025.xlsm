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5/"/>
    </mc:Choice>
  </mc:AlternateContent>
  <xr:revisionPtr revIDLastSave="153811" documentId="8_{04312E43-248A-44FE-AA64-4B70C5801C64}" xr6:coauthVersionLast="47" xr6:coauthVersionMax="47" xr10:uidLastSave="{BB881AFA-C998-45A3-920A-AD81DAFEE6AF}"/>
  <workbookProtection workbookAlgorithmName="SHA-512" workbookHashValue="IsgAvTSVHJBEm25R/1PPC+XBq8w9iXmYOjQpGQ0pcsN0VJXIyN3W3rJ26Z2YRfI7CYNsYuB7JvJlizJTXq9ydA==" workbookSaltValue="GkTFil2jU/0XovuL+qC4DA==" workbookSpinCount="100000" lockStructure="1"/>
  <bookViews>
    <workbookView xWindow="-108" yWindow="-108" windowWidth="23256" windowHeight="12456" tabRatio="697"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Products'!$A$1:$E$154</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7" i="2" l="1"/>
  <c r="AV209" i="2"/>
  <c r="AV81" i="2"/>
  <c r="AV218" i="2"/>
  <c r="AV239" i="2"/>
  <c r="AV167" i="2"/>
  <c r="AV156" i="2"/>
  <c r="AV137" i="2"/>
  <c r="AV89" i="2"/>
  <c r="AV94" i="2"/>
  <c r="AV87" i="2"/>
  <c r="AV108" i="2"/>
  <c r="AV102" i="2"/>
  <c r="AV99" i="2"/>
  <c r="AV246" i="2"/>
  <c r="AV66" i="2"/>
  <c r="AV65" i="2"/>
  <c r="AV143" i="2"/>
  <c r="AV135" i="2"/>
  <c r="AV147" i="2"/>
  <c r="AV144" i="2"/>
  <c r="AV150" i="2"/>
  <c r="AV136" i="2"/>
  <c r="AV205" i="2"/>
  <c r="AV56" i="2"/>
  <c r="AV54" i="2"/>
  <c r="AV52" i="2"/>
  <c r="AV50" i="2"/>
  <c r="AV96" i="2"/>
  <c r="AV63" i="2"/>
  <c r="AV61" i="2"/>
  <c r="AV58" i="2"/>
  <c r="AV9" i="2"/>
  <c r="AV262" i="2"/>
  <c r="AV86" i="2"/>
  <c r="AV88" i="2"/>
  <c r="AV93" i="2"/>
  <c r="AV38" i="2"/>
  <c r="AV257" i="2"/>
  <c r="AV268" i="2"/>
  <c r="AV228" i="2"/>
  <c r="AV35" i="2"/>
  <c r="AV184" i="2"/>
  <c r="AV24" i="2"/>
  <c r="AV71" i="2"/>
  <c r="AV261" i="2"/>
  <c r="AV260" i="2"/>
  <c r="AV259" i="2"/>
  <c r="AV256" i="2"/>
  <c r="AV255" i="2"/>
  <c r="AV267" i="2"/>
  <c r="AV266" i="2"/>
  <c r="AV253" i="2"/>
  <c r="AV252" i="2"/>
  <c r="AV251" i="2"/>
  <c r="AV250" i="2"/>
  <c r="AV229" i="2"/>
  <c r="AV216" i="2"/>
  <c r="AV206" i="2"/>
  <c r="AV227" i="2"/>
  <c r="AV226" i="2"/>
  <c r="AV225" i="2"/>
  <c r="AV224" i="2"/>
  <c r="AV223" i="2"/>
  <c r="AV132" i="2"/>
  <c r="AV244" i="2"/>
  <c r="AV243" i="2"/>
  <c r="AV242" i="2"/>
  <c r="AV245" i="2"/>
  <c r="AV234" i="2"/>
  <c r="AV233" i="2"/>
  <c r="AV232" i="2"/>
  <c r="AV208" i="2"/>
  <c r="AV271" i="2"/>
  <c r="AV139" i="2"/>
  <c r="AV153" i="2"/>
  <c r="AV142" i="2"/>
  <c r="AV90" i="2"/>
  <c r="AV85" i="2"/>
  <c r="AV8" i="2"/>
  <c r="AV5" i="2"/>
  <c r="AV2" i="2"/>
  <c r="AV84" i="2"/>
  <c r="AV21" i="2"/>
  <c r="AV230" i="2"/>
  <c r="AV47" i="2"/>
  <c r="AV46" i="2"/>
  <c r="AV179" i="2"/>
  <c r="AV140" i="2"/>
  <c r="AV148" i="2"/>
  <c r="AV152" i="2"/>
  <c r="AV145" i="2"/>
  <c r="AV134" i="2"/>
  <c r="AV133" i="2"/>
  <c r="AV83" i="2"/>
  <c r="AV44" i="2"/>
  <c r="AV160" i="2"/>
  <c r="AV155" i="2"/>
</calcChain>
</file>

<file path=xl/sharedStrings.xml><?xml version="1.0" encoding="utf-8"?>
<sst xmlns="http://schemas.openxmlformats.org/spreadsheetml/2006/main" count="9579" uniqueCount="2370">
  <si>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</si>
  <si>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</si>
  <si>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</si>
  <si>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</si>
  <si>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</si>
  <si>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</si>
  <si>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</si>
  <si>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</si>
  <si>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</si>
  <si>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</si>
  <si>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</si>
  <si>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</si>
  <si>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</si>
  <si>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</si>
  <si>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</si>
  <si>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</si>
  <si>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</si>
  <si>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</si>
  <si>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</si>
  <si>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</si>
  <si>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</si>
  <si>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</si>
  <si>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</si>
  <si>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</si>
  <si>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</si>
  <si>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</si>
  <si>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</si>
  <si>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</si>
  <si>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</si>
  <si>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</si>
  <si>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</si>
  <si>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</si>
  <si>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</si>
  <si>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</si>
  <si>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</si>
  <si>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</si>
  <si>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</si>
  <si>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</si>
  <si>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</si>
  <si>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</si>
  <si>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</si>
  <si>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</si>
  <si>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</si>
  <si>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</si>
  <si>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</si>
  <si>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</si>
  <si>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</si>
  <si>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</si>
  <si>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</si>
  <si>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</si>
  <si>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</si>
  <si>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</si>
  <si>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</si>
  <si>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</si>
  <si>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24/24 oz can</t>
  </si>
  <si>
    <t>Yes</t>
  </si>
  <si>
    <t>Beef, Crumbles w/SPP, Cooked, Frozen</t>
  </si>
  <si>
    <t>4/10 lb bag</t>
  </si>
  <si>
    <t>40 lb case</t>
  </si>
  <si>
    <t>Beef, Fine Ground, 100%, 85/15, LFTB OPT, Frozen</t>
  </si>
  <si>
    <t>Beef, Patties w/SPP, Cooked, 2.0 MMA, Frozen</t>
  </si>
  <si>
    <t>No</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</si>
  <si>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</si>
  <si>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</si>
  <si>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</si>
  <si>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</si>
  <si>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</si>
  <si>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</si>
  <si>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</si>
  <si>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</si>
  <si>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</si>
  <si>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</si>
  <si>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</si>
  <si>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</si>
  <si>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</si>
  <si>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</si>
  <si>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</si>
  <si>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</si>
  <si>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</si>
  <si>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</si>
  <si>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</si>
  <si>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</si>
  <si>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</si>
  <si>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</si>
  <si>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</si>
  <si>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</si>
  <si>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</si>
  <si>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</si>
  <si>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</si>
  <si>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</si>
  <si>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</si>
  <si>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</si>
  <si>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</si>
  <si>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</si>
  <si>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</si>
  <si>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</si>
  <si>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</si>
  <si>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</si>
  <si>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</si>
  <si>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</si>
  <si>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</si>
  <si>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</si>
  <si>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</si>
  <si>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</si>
  <si>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</si>
  <si>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</si>
  <si>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</si>
  <si>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</si>
  <si>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</si>
  <si>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</si>
  <si>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</si>
  <si>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</si>
  <si>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</si>
  <si>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</si>
  <si>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</si>
  <si>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</si>
  <si>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</si>
  <si>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</si>
  <si>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</si>
  <si>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</si>
  <si>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</si>
  <si>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</si>
  <si>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</si>
  <si>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</si>
  <si>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</si>
  <si>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</si>
  <si>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</si>
  <si>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</si>
  <si>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</si>
  <si>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</si>
  <si>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</si>
  <si>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</si>
  <si>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</si>
  <si>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</si>
  <si>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</si>
  <si>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</si>
  <si>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</si>
  <si>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</si>
  <si>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</si>
  <si>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</si>
  <si>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</si>
  <si>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</si>
  <si>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</si>
  <si>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</si>
  <si>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</si>
  <si>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</si>
  <si>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</si>
  <si>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</si>
  <si>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</si>
  <si>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</si>
  <si>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</si>
  <si>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</si>
  <si>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</si>
  <si>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</si>
  <si>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</si>
  <si>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</si>
  <si>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</si>
  <si>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</si>
  <si>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</si>
  <si>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</si>
  <si>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</si>
  <si>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</si>
  <si>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</si>
  <si>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</si>
  <si>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</si>
  <si>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</si>
  <si>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</si>
  <si>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</si>
  <si>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</si>
  <si>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</si>
  <si>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</si>
  <si>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</si>
  <si>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</si>
  <si>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</si>
  <si>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</si>
  <si>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</si>
  <si>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</si>
  <si>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</si>
  <si>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</si>
  <si>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</si>
  <si>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</si>
  <si>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 xml:space="preserve">24/24 oz can </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</si>
  <si>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</si>
  <si>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</si>
  <si>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</si>
  <si>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</si>
  <si>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</si>
  <si>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</si>
  <si>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</si>
  <si>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</si>
  <si>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</si>
  <si>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</si>
  <si>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</si>
  <si>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</si>
  <si>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</si>
  <si>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</si>
  <si>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</si>
  <si>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</si>
  <si>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4/8-12 lb roasts</t>
  </si>
  <si>
    <t>Turkey, Deli Ham, Smoked, Frozen</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</si>
  <si>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</si>
  <si>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</si>
  <si>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</si>
  <si>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</si>
  <si>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</si>
  <si>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</si>
  <si>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</si>
  <si>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</si>
  <si>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</si>
  <si>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</si>
  <si>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</si>
  <si>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</si>
  <si>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</si>
  <si>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</si>
  <si>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</si>
  <si>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</si>
  <si>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</si>
  <si>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</si>
  <si>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</si>
  <si>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</si>
  <si>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</si>
  <si>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</si>
  <si>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</si>
  <si>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</si>
  <si>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</si>
  <si>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</si>
  <si>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</si>
  <si>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</si>
  <si>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</si>
  <si>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</si>
  <si>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</si>
  <si>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</si>
  <si>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</si>
  <si>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</si>
  <si>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</si>
  <si>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</si>
  <si>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</si>
  <si>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</si>
  <si>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</si>
  <si>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</si>
  <si>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</si>
  <si>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</si>
  <si>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</si>
  <si>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</si>
  <si>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</si>
  <si>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</si>
  <si>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</si>
  <si>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</si>
  <si>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</si>
  <si>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</si>
  <si>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</si>
  <si>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</si>
  <si>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</si>
  <si>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</si>
  <si>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</si>
  <si>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</si>
  <si>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</si>
  <si>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</si>
  <si>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</si>
  <si>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</si>
  <si>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</si>
  <si>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</si>
  <si>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</si>
  <si>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</si>
  <si>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</si>
  <si>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</si>
  <si>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</si>
  <si>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</si>
  <si>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</si>
  <si>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</si>
  <si>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</si>
  <si>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</si>
  <si>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</si>
  <si>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</si>
  <si>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</si>
  <si>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</si>
  <si>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</si>
  <si>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</si>
  <si>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</si>
  <si>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</si>
  <si>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</si>
  <si>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</si>
  <si>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</si>
  <si>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</si>
  <si>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</si>
  <si>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</si>
  <si>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</si>
  <si>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</si>
  <si>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</si>
  <si>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</si>
  <si>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</si>
  <si>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</si>
  <si>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</si>
  <si>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</si>
  <si>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</si>
  <si>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</si>
  <si>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</si>
  <si>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</si>
  <si>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</si>
  <si>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</si>
  <si>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</si>
  <si>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</si>
  <si>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</si>
  <si>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</si>
  <si>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</si>
  <si>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</si>
  <si>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</si>
  <si>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</si>
  <si>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</si>
  <si>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</si>
  <si>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</si>
  <si>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</si>
  <si>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</si>
  <si>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</si>
  <si>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</si>
  <si>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</si>
  <si>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</si>
  <si>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</si>
  <si>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</si>
  <si>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</si>
  <si>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</si>
  <si>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</si>
  <si>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</si>
  <si>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</si>
  <si>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</si>
  <si>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</si>
  <si>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</si>
  <si>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</si>
  <si>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</si>
  <si>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</si>
  <si>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</si>
  <si>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</si>
  <si>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</si>
  <si>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</si>
  <si>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</si>
  <si>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</si>
  <si>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</si>
  <si>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</si>
  <si>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</si>
  <si>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</si>
  <si>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</si>
  <si>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</si>
  <si>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</si>
  <si>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</si>
  <si>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</si>
  <si>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</si>
  <si>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</si>
  <si>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</si>
  <si>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</si>
  <si>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</si>
  <si>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</si>
  <si>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</si>
  <si>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</si>
  <si>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</si>
  <si>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</si>
  <si>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</si>
  <si>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</si>
  <si>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</si>
  <si>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</si>
  <si>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</si>
  <si>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</si>
  <si>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</si>
  <si>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</si>
  <si>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</si>
  <si>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</si>
  <si>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</si>
  <si>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</si>
  <si>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</si>
  <si>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</si>
  <si>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</si>
  <si>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</si>
  <si>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</si>
  <si>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</si>
  <si>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</si>
  <si>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</si>
  <si>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</si>
  <si>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</si>
  <si>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</si>
  <si>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</si>
  <si>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</si>
  <si>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</si>
  <si>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</si>
  <si>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</si>
  <si>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</si>
  <si>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</si>
  <si>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</si>
  <si>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</si>
  <si>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</si>
  <si>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</si>
  <si>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</si>
  <si>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</si>
  <si>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</si>
  <si>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</si>
  <si>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</si>
  <si>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</si>
  <si>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</si>
  <si>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</si>
  <si>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</si>
  <si>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</si>
  <si>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</si>
  <si>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</si>
  <si>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</si>
  <si>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</si>
  <si>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</si>
  <si>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</si>
  <si>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</si>
  <si>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</si>
  <si>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</si>
  <si>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</si>
  <si>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</si>
  <si>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</si>
  <si>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</si>
  <si>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</si>
  <si>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</si>
  <si>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</si>
  <si>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</si>
  <si>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</si>
  <si>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</si>
  <si>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</si>
  <si>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</si>
  <si>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</si>
  <si>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</si>
  <si>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</si>
  <si>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</si>
  <si>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</si>
  <si>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</si>
  <si>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</si>
  <si>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</si>
  <si>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</si>
  <si>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</si>
  <si>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</si>
  <si>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</si>
  <si>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</si>
  <si>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</si>
  <si>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</si>
  <si>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</si>
  <si>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</si>
  <si>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</si>
  <si>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</si>
  <si>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</si>
  <si>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</si>
  <si>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</si>
  <si>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</si>
  <si>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</si>
  <si>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</si>
  <si>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</si>
  <si>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</si>
  <si>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</si>
  <si>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</si>
  <si>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</si>
  <si>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</si>
  <si>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</si>
  <si>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</si>
  <si>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</si>
  <si>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</si>
  <si>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</si>
  <si>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</si>
  <si>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</si>
  <si>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</si>
  <si>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</si>
  <si>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</si>
  <si>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</si>
  <si>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</si>
  <si>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</si>
  <si>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</si>
  <si>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</si>
  <si>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</si>
  <si>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</si>
  <si>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</si>
  <si>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</si>
  <si>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</si>
  <si>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</si>
  <si>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</si>
  <si>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</si>
  <si>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</si>
  <si>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</si>
  <si>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</si>
  <si>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</si>
  <si>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</si>
  <si>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</si>
  <si>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</si>
  <si>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</si>
  <si>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</si>
  <si>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</si>
  <si>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</si>
  <si>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</si>
  <si>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</si>
  <si>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</si>
  <si>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</si>
  <si>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</si>
  <si>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</si>
  <si>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</si>
  <si>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</si>
  <si>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</si>
  <si>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</si>
  <si>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</si>
  <si>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</si>
  <si>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</si>
  <si>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</si>
  <si>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</si>
  <si>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</si>
  <si>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</si>
  <si>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</si>
  <si>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</si>
  <si>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Ground Turkey, Water, Tomato Paste, Textured Soy Flour, and 2% or less of: Yellow Corn Flour, Maltodextrin, Spices, Paprika, Sugar, Salt, Dehydrated Garlic, Modified Corn Starch, Natural Flavors, Citric Acid, Yeast Extract, Dehydrated Onion, Caramel Color. CONTAINS: SOY.</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</si>
  <si>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</si>
  <si>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</si>
  <si>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</si>
  <si>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</si>
  <si>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</si>
  <si>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</si>
  <si>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</si>
  <si>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</si>
  <si>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</si>
  <si>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</si>
  <si>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</si>
  <si>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</si>
  <si>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</si>
  <si>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</si>
  <si>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</si>
  <si>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</si>
  <si>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</si>
  <si>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</si>
  <si>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Turkey Breast, Water, Contains Less Than 2% Salt, Sugar, Sodium Phosphate, Modified Food Starch, Sodium Propionate.</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</si>
  <si>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</si>
  <si>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</si>
  <si>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</si>
  <si>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</si>
  <si>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</si>
  <si>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</si>
  <si>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</si>
  <si>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</si>
  <si>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</si>
  <si>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</si>
  <si>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</si>
  <si>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</si>
  <si>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</si>
  <si>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90642205528144</t>
  </si>
  <si>
    <t>Cargill</t>
  </si>
  <si>
    <t>School Lunch Ready to Cook Turkey Combo Roast</t>
  </si>
  <si>
    <t>Fz RTC Combo Rst 4p USDA</t>
  </si>
  <si>
    <t>4 ounce</t>
  </si>
  <si>
    <t>Turkey, Contains Up To 7% Of A Solution Of Water, Salt And Sodium Phosphate</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</si>
  <si>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</si>
  <si>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</si>
  <si>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</si>
  <si>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</si>
  <si>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</si>
  <si>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</si>
  <si>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</si>
  <si>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</si>
  <si>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</si>
  <si>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</si>
  <si>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</si>
  <si>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</si>
  <si>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</si>
  <si>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</si>
  <si>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</si>
  <si>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</si>
  <si>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</si>
  <si>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</si>
  <si>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</si>
  <si>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</si>
  <si>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</si>
  <si>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</si>
  <si>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</si>
  <si>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</si>
  <si>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</si>
  <si>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</si>
  <si>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</si>
  <si>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</si>
  <si>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</si>
  <si>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</si>
  <si>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</si>
  <si>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</si>
  <si>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</si>
  <si>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</si>
  <si>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</si>
  <si>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</si>
  <si>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3.5 ounces</t>
  </si>
  <si>
    <t>NFT_AGGREGATE</t>
  </si>
  <si>
    <t>AE, AF, AM, AP, AS, UN, AY, AN, UW</t>
  </si>
  <si>
    <t>00195893151035</t>
  </si>
  <si>
    <t>Criss Cross Express of Illinois, LLC</t>
  </si>
  <si>
    <t>Jancorp, LLC dba Criss Cross Express of IL, LLC</t>
  </si>
  <si>
    <t>Beef, Fine Ground</t>
  </si>
  <si>
    <t>3.95068 ounce</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</si>
  <si>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</si>
  <si>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</si>
  <si>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</si>
  <si>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</si>
  <si>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</si>
  <si>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</si>
  <si>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</si>
  <si>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</si>
  <si>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</si>
  <si>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</si>
  <si>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</si>
  <si>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Hof Hause</t>
  </si>
  <si>
    <t>John Hofmeister &amp; Son, Inc</t>
  </si>
  <si>
    <t>John Hofmeister  &amp; Son, Inc</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</si>
  <si>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</si>
  <si>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</si>
  <si>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</si>
  <si>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</si>
  <si>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</si>
  <si>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</si>
  <si>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</si>
  <si>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</si>
  <si>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</si>
  <si>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</si>
  <si>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</si>
  <si>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</si>
  <si>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</si>
  <si>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</si>
  <si>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</si>
  <si>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</si>
  <si>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</si>
  <si>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</si>
  <si>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</si>
  <si>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</si>
  <si>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</si>
  <si>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</si>
  <si>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</si>
  <si>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</si>
  <si>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</si>
  <si>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</si>
  <si>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</si>
  <si>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</si>
  <si>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</si>
  <si>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</si>
  <si>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</si>
  <si>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</si>
  <si>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</si>
  <si>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</si>
  <si>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</si>
  <si>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</si>
  <si>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</si>
  <si>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</si>
  <si>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</si>
  <si>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Apples, Water,  Erythorbic Acid</t>
  </si>
  <si>
    <t>00070283091019</t>
  </si>
  <si>
    <t>Apple Slices WP</t>
  </si>
  <si>
    <t>UNSPECIFIED</t>
  </si>
  <si>
    <t>UW, AC, AE, AF, AM, AP, AN, AY, AS</t>
  </si>
  <si>
    <t>Apples, Water,  Ascorbic Acid, Citric Acid</t>
  </si>
  <si>
    <t>00024000249764</t>
  </si>
  <si>
    <t>Del Monte</t>
  </si>
  <si>
    <t>DEL MONTE</t>
  </si>
  <si>
    <t>DM SLICE APPLES WATER 104 OZ.</t>
  </si>
  <si>
    <t>APPLES</t>
  </si>
  <si>
    <t>AC, AE, AF, AM, AN, AP, AS, AU, AY, BM, UM, UN, UW</t>
  </si>
  <si>
    <t>Triangle K</t>
  </si>
  <si>
    <t>Apples, Water</t>
  </si>
  <si>
    <t>Knouse Foods Cooperative Inc.</t>
  </si>
  <si>
    <t>KNOUSE FOODS COOPERATIVE INC.</t>
  </si>
  <si>
    <t>Orthodox Union</t>
  </si>
  <si>
    <t>00024000509653</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</si>
  <si>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</si>
  <si>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</si>
  <si>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</si>
  <si>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</si>
  <si>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</si>
  <si>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</si>
  <si>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</si>
  <si>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</si>
  <si>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</si>
  <si>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</si>
  <si>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</si>
  <si>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</si>
  <si>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</si>
  <si>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</si>
  <si>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</si>
  <si>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</si>
  <si>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</si>
  <si>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</si>
  <si>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</si>
  <si>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</si>
  <si>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</si>
  <si>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</si>
  <si>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</si>
  <si>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</si>
  <si>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</si>
  <si>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</si>
  <si>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</si>
  <si>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</si>
  <si>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</si>
  <si>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DM DICED PEACHES XLS 105OZ</t>
  </si>
  <si>
    <t>PEACHES, YELLOW CLING</t>
  </si>
  <si>
    <t>00024000509677</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</si>
  <si>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</si>
  <si>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</si>
  <si>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</si>
  <si>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</si>
  <si>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</si>
  <si>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</si>
  <si>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</si>
  <si>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</si>
  <si>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</si>
  <si>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</si>
  <si>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</si>
  <si>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</si>
  <si>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</si>
  <si>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</si>
  <si>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</si>
  <si>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</si>
  <si>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</si>
  <si>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</si>
  <si>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</si>
  <si>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</si>
  <si>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</si>
  <si>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</si>
  <si>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</si>
  <si>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</si>
  <si>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</si>
  <si>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</si>
  <si>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</si>
  <si>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</si>
  <si>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</si>
  <si>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</si>
  <si>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</si>
  <si>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</si>
  <si>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</si>
  <si>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</si>
  <si>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</si>
  <si>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</si>
  <si>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</si>
  <si>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</si>
  <si>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</si>
  <si>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</si>
  <si>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</si>
  <si>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</si>
  <si>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</si>
  <si>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</si>
  <si>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</si>
  <si>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</si>
  <si>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</si>
  <si>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</si>
  <si>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</si>
  <si>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</si>
  <si>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</si>
  <si>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</si>
  <si>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</si>
  <si>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</si>
  <si>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</si>
  <si>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</si>
  <si>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</si>
  <si>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</si>
  <si>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</si>
  <si>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</si>
  <si>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</si>
  <si>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</si>
  <si>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</si>
  <si>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</si>
  <si>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</si>
  <si>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</si>
  <si>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</si>
  <si>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</si>
  <si>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</si>
  <si>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</si>
  <si>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</si>
  <si>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</si>
  <si>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</si>
  <si>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</si>
  <si>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</si>
  <si>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</si>
  <si>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</si>
  <si>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</si>
  <si>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</si>
  <si>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</si>
  <si>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</si>
  <si>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</si>
  <si>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</si>
  <si>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</si>
  <si>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</si>
  <si>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</si>
  <si>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</si>
  <si>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</si>
  <si>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</si>
  <si>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</si>
  <si>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</si>
  <si>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</si>
  <si>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</si>
  <si>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</si>
  <si>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</si>
  <si>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</si>
  <si>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</si>
  <si>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</si>
  <si>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</si>
  <si>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</si>
  <si>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</si>
  <si>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</si>
  <si>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</si>
  <si>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</si>
  <si>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</si>
  <si>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</si>
  <si>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</si>
  <si>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</si>
  <si>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</si>
  <si>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</si>
  <si>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</si>
  <si>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</si>
  <si>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</si>
  <si>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</si>
  <si>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</si>
  <si>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</si>
  <si>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</si>
  <si>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</si>
  <si>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</si>
  <si>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</si>
  <si>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</si>
  <si>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</si>
  <si>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</si>
  <si>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</si>
  <si>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</si>
  <si>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</si>
  <si>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</si>
  <si>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</si>
  <si>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</si>
  <si>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</si>
  <si>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</si>
  <si>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</si>
  <si>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</si>
  <si>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</si>
  <si>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</si>
  <si>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</si>
  <si>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</si>
  <si>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</si>
  <si>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</si>
  <si>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</si>
  <si>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</si>
  <si>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</si>
  <si>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</si>
  <si>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</si>
  <si>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LAKESIDE CUT GREEN BNS</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</si>
  <si>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</si>
  <si>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</si>
  <si>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</si>
  <si>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</si>
  <si>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</si>
  <si>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</si>
  <si>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</si>
  <si>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</si>
  <si>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</si>
  <si>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</si>
  <si>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</si>
  <si>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</si>
  <si>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</si>
  <si>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</si>
  <si>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</si>
  <si>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</si>
  <si>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</si>
  <si>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</si>
  <si>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</si>
  <si>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</si>
  <si>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</si>
  <si>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</si>
  <si>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</si>
  <si>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</si>
  <si>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</si>
  <si>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</si>
  <si>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</si>
  <si>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</si>
  <si>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</si>
  <si>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</si>
  <si>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</si>
  <si>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</si>
  <si>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</si>
  <si>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</si>
  <si>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</si>
  <si>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</si>
  <si>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</si>
  <si>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</si>
  <si>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</si>
  <si>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</si>
  <si>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</si>
  <si>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</si>
  <si>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</si>
  <si>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</si>
  <si>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</si>
  <si>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</si>
  <si>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</si>
  <si>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</si>
  <si>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</si>
  <si>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</si>
  <si>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</si>
  <si>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</si>
  <si>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</si>
  <si>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</si>
  <si>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</si>
  <si>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</si>
  <si>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</si>
  <si>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</si>
  <si>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</si>
  <si>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</si>
  <si>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</si>
  <si>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</si>
  <si>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</si>
  <si>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</si>
  <si>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</si>
  <si>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</si>
  <si>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</si>
  <si>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</si>
  <si>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</si>
  <si>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</si>
  <si>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</si>
  <si>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</si>
  <si>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</si>
  <si>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</si>
  <si>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</si>
  <si>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</si>
  <si>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</si>
  <si>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</si>
  <si>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</si>
  <si>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</si>
  <si>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</si>
  <si>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</si>
  <si>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</si>
  <si>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</si>
  <si>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</si>
  <si>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</si>
  <si>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</si>
  <si>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</si>
  <si>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</si>
  <si>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</si>
  <si>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</si>
  <si>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</si>
  <si>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</si>
  <si>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</si>
  <si>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</si>
  <si>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</si>
  <si>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</si>
  <si>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</si>
  <si>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</si>
  <si>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</si>
  <si>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</si>
  <si>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</si>
  <si>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</si>
  <si>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</si>
  <si>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</si>
  <si>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</si>
  <si>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</si>
  <si>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</si>
  <si>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</si>
  <si>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Tomato Puree (Water, Tomato Paste), Water, High Fructose Corn Syrup, Less Than 2% Of: Citric Acid, Salt, Onion Powder, Garlic Powder, Dehydrated Bell Peppers, Natural Flavors.</t>
  </si>
  <si>
    <t>10041712770543</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</si>
  <si>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</si>
  <si>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</si>
  <si>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</si>
  <si>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</si>
  <si>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</si>
  <si>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</si>
  <si>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</si>
  <si>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</si>
  <si>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</si>
  <si>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</si>
  <si>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</si>
  <si>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</si>
  <si>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</si>
  <si>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</si>
  <si>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</si>
  <si>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</si>
  <si>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</si>
  <si>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</si>
  <si>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</si>
  <si>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</si>
  <si>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</si>
  <si>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</si>
  <si>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</si>
  <si>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</si>
  <si>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</si>
  <si>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</si>
  <si>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</si>
  <si>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</si>
  <si>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</si>
  <si>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</si>
  <si>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</si>
  <si>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</si>
  <si>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</si>
  <si>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</si>
  <si>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</si>
  <si>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</si>
  <si>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</si>
  <si>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</si>
  <si>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</si>
  <si>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</si>
  <si>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</si>
  <si>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</si>
  <si>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</si>
  <si>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</si>
  <si>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</si>
  <si>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</si>
  <si>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</si>
  <si>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</si>
  <si>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</si>
  <si>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</si>
  <si>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</si>
  <si>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</si>
  <si>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</si>
  <si>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</si>
  <si>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</si>
  <si>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00086289201628</t>
  </si>
  <si>
    <t>Fat Free Potato Wedges</t>
  </si>
  <si>
    <t>Potatoes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</si>
  <si>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</si>
  <si>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</si>
  <si>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</si>
  <si>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</si>
  <si>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</si>
  <si>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</si>
  <si>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</si>
  <si>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</si>
  <si>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</si>
  <si>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</si>
  <si>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</si>
  <si>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</si>
  <si>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</si>
  <si>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</si>
  <si>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</si>
  <si>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</si>
  <si>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</si>
  <si>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</si>
  <si>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</si>
  <si>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</si>
  <si>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</si>
  <si>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</si>
  <si>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</si>
  <si>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</si>
  <si>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</si>
  <si>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</si>
  <si>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</si>
  <si>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</si>
  <si>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</si>
  <si>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</si>
  <si>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</si>
  <si>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</si>
  <si>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</si>
  <si>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</si>
  <si>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</si>
  <si>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</si>
  <si>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</si>
  <si>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</si>
  <si>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</si>
  <si>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</si>
  <si>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</si>
  <si>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</si>
  <si>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</si>
  <si>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</si>
  <si>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</si>
  <si>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</si>
  <si>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</si>
  <si>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</si>
  <si>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</si>
  <si>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</si>
  <si>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</si>
  <si>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</si>
  <si>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</si>
  <si>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</si>
  <si>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</si>
  <si>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</si>
  <si>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</si>
  <si>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</si>
  <si>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</si>
  <si>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</si>
  <si>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</si>
  <si>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</si>
  <si>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</si>
  <si>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</si>
  <si>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</si>
  <si>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</si>
  <si>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</si>
  <si>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</si>
  <si>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</si>
  <si>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</si>
  <si>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</si>
  <si>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</si>
  <si>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</si>
  <si>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</si>
  <si>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</si>
  <si>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</si>
  <si>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</si>
  <si>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</si>
  <si>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</si>
  <si>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</si>
  <si>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</si>
  <si>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</si>
  <si>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</si>
  <si>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</si>
  <si>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</si>
  <si>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</si>
  <si>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</si>
  <si>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</si>
  <si>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</si>
  <si>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</si>
  <si>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</si>
  <si>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</si>
  <si>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</si>
  <si>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</si>
  <si>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</si>
  <si>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</si>
  <si>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</si>
  <si>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</si>
  <si>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</si>
  <si>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</si>
  <si>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</si>
  <si>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</si>
  <si>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</si>
  <si>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</si>
  <si>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</si>
  <si>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</si>
  <si>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</si>
  <si>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</si>
  <si>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</si>
  <si>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</si>
  <si>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</si>
  <si>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</si>
  <si>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</si>
  <si>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</si>
  <si>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</si>
  <si>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</si>
  <si>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</si>
  <si>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</si>
  <si>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</si>
  <si>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</si>
  <si>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</si>
  <si>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</si>
  <si>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</si>
  <si>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</si>
  <si>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</si>
  <si>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</si>
  <si>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</si>
  <si>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</si>
  <si>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</si>
  <si>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</si>
  <si>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</si>
  <si>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</si>
  <si>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QUICK OATS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</si>
  <si>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</si>
  <si>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</si>
  <si>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</si>
  <si>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</si>
  <si>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</si>
  <si>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</si>
  <si>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</si>
  <si>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</si>
  <si>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</si>
  <si>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</si>
  <si>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</si>
  <si>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</si>
  <si>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</si>
  <si>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</si>
  <si>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</si>
  <si>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</si>
  <si>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</si>
  <si>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</si>
  <si>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</si>
  <si>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</si>
  <si>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</si>
  <si>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</si>
  <si>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</si>
  <si>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</si>
  <si>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</si>
  <si>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</si>
  <si>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</si>
  <si>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</si>
  <si>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</si>
  <si>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</si>
  <si>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</si>
  <si>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</si>
  <si>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</si>
  <si>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</si>
  <si>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</si>
  <si>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</si>
  <si>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</si>
  <si>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</si>
  <si>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</si>
  <si>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</si>
  <si>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</si>
  <si>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1 patty (3 ounces)</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</si>
  <si>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</si>
  <si>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</si>
  <si>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</si>
  <si>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</si>
  <si>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</si>
  <si>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</si>
  <si>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</si>
  <si>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</si>
  <si>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</si>
  <si>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</si>
  <si>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</si>
  <si>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</si>
  <si>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</si>
  <si>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</si>
  <si>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</si>
  <si>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</si>
  <si>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</si>
  <si>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</si>
  <si>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</si>
  <si>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</si>
  <si>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</si>
  <si>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</si>
  <si>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</si>
  <si>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</si>
  <si>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</si>
  <si>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</si>
  <si>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</si>
  <si>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</si>
  <si>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</si>
  <si>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</si>
  <si>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</si>
  <si>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</si>
  <si>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</si>
  <si>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</si>
  <si>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</si>
  <si>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</si>
  <si>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</si>
  <si>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</si>
  <si>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</si>
  <si>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</si>
  <si>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</si>
  <si>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</si>
  <si>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</si>
  <si>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</si>
  <si>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</si>
  <si>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</si>
  <si>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</si>
  <si>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</si>
  <si>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</si>
  <si>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</si>
  <si>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</si>
  <si>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</si>
  <si>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</si>
  <si>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</si>
  <si>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</si>
  <si>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</si>
  <si>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</si>
  <si>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</si>
  <si>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</si>
  <si>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</si>
  <si>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</si>
  <si>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</si>
  <si>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</si>
  <si>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</si>
  <si>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</si>
  <si>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</si>
  <si>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</si>
  <si>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</si>
  <si>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</si>
  <si>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</si>
  <si>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</si>
  <si>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</si>
  <si>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</si>
  <si>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</si>
  <si>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</si>
  <si>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</si>
  <si>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</si>
  <si>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</si>
  <si>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</si>
  <si>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</si>
  <si>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</si>
  <si>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</si>
  <si>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</si>
  <si>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</si>
  <si>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</si>
  <si>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</si>
  <si>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</si>
  <si>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</si>
  <si>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</si>
  <si>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</si>
  <si>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</si>
  <si>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</si>
  <si>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</si>
  <si>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</si>
  <si>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</si>
  <si>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</si>
  <si>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</si>
  <si>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</si>
  <si>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</si>
  <si>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</si>
  <si>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</si>
  <si>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</si>
  <si>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</si>
  <si>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</si>
  <si>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</si>
  <si>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</si>
  <si>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</si>
  <si>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Turkey Breast, Turkey Broth, Contains Less Than 2% Salt, Sugar, Modified Food Starch, Propionic Acid, Sodium Phosphate, Potassium Chloride, Natural Flavor</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</si>
  <si>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</si>
  <si>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</si>
  <si>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</si>
  <si>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</si>
  <si>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</si>
  <si>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</si>
  <si>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</si>
  <si>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</si>
  <si>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</si>
  <si>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</si>
  <si>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</si>
  <si>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</si>
  <si>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</si>
  <si>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Patty Size: 2.2 oz.
Patty Shape: Round 
Patty Dimensions: 3.6 inches
Patty Thickness: 0.55 inches</t>
  </si>
  <si>
    <t>FZ Ckd CN Bf Pty 2.2oz</t>
  </si>
  <si>
    <t>Beef IQF Patties</t>
  </si>
  <si>
    <t>1 patty (2.2 ounces)</t>
  </si>
  <si>
    <t>Each 2.2 ounce fully cooked homestyle beef patty provides 2.0 ounce equivalent meat</t>
  </si>
  <si>
    <t>2.2 ONZ</t>
  </si>
  <si>
    <t>2.0 ONZ</t>
  </si>
  <si>
    <t>Each 2.20 oz. fully cooked homestyle beef patty provides 2.00 oz. equivalent meat for the child nutrition meal patter requirements.</t>
  </si>
  <si>
    <t>http://images.salsify.com/image/upload/s--2ALCCJF1--/w_1000,h_1000,c_mpad,dn_300/tm1ocpzdxkzhqrpavwcw.jpg</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</si>
  <si>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</si>
  <si>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</si>
  <si>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</si>
  <si>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</si>
  <si>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</si>
  <si>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</si>
  <si>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</si>
  <si>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</si>
  <si>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</si>
  <si>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</si>
  <si>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</si>
  <si>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</si>
  <si>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</si>
  <si>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</si>
  <si>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</si>
  <si>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</si>
  <si>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</si>
  <si>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</si>
  <si>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</si>
  <si>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</si>
  <si>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</si>
  <si>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</si>
  <si>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</si>
  <si>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</si>
  <si>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</si>
  <si>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</si>
  <si>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</si>
  <si>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</si>
  <si>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</si>
  <si>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</si>
  <si>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</si>
  <si>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</si>
  <si>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</si>
  <si>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</si>
  <si>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</si>
  <si>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</si>
  <si>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</si>
  <si>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</si>
  <si>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</si>
  <si>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</si>
  <si>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</si>
  <si>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</si>
  <si>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</si>
  <si>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</si>
  <si>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</si>
  <si>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</si>
  <si>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</si>
  <si>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</si>
  <si>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</si>
  <si>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</si>
  <si>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</si>
  <si>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</si>
  <si>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</si>
  <si>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</si>
  <si>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</si>
  <si>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</si>
  <si>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</si>
  <si>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</si>
  <si>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</si>
  <si>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</si>
  <si>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</si>
  <si>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</si>
  <si>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</si>
  <si>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</si>
  <si>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</si>
  <si>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</si>
  <si>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</si>
  <si>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</si>
  <si>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</si>
  <si>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</si>
  <si>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</si>
  <si>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</si>
  <si>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</si>
  <si>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</si>
  <si>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</si>
  <si>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</si>
  <si>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</si>
  <si>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</si>
  <si>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</si>
  <si>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</si>
  <si>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</si>
  <si>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</si>
  <si>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</si>
  <si>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</si>
  <si>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</si>
  <si>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</si>
  <si>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</si>
  <si>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</si>
  <si>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</si>
  <si>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</si>
  <si>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</si>
  <si>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</si>
  <si>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</si>
  <si>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</si>
  <si>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</si>
  <si>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</si>
  <si>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</si>
  <si>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</si>
  <si>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</si>
  <si>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</si>
  <si>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</si>
  <si>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</si>
  <si>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</si>
  <si>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</si>
  <si>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</si>
  <si>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</si>
  <si>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</si>
  <si>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</si>
  <si>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</si>
  <si>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</si>
  <si>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</si>
  <si>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</si>
  <si>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</si>
  <si>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</si>
  <si>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</si>
  <si>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</si>
  <si>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</si>
  <si>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</si>
  <si>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</si>
  <si>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</si>
  <si>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</si>
  <si>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</si>
  <si>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</si>
  <si>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</si>
  <si>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</si>
  <si>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</si>
  <si>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</si>
  <si>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</si>
  <si>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</si>
  <si>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</si>
  <si>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</si>
  <si>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</si>
  <si>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</si>
  <si>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</si>
  <si>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</si>
  <si>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</si>
  <si>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</si>
  <si>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</si>
  <si>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</si>
  <si>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</si>
  <si>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</si>
  <si>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</si>
  <si>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</si>
  <si>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</si>
  <si>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</si>
  <si>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</si>
  <si>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</si>
  <si>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</si>
  <si>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</si>
  <si>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</si>
  <si>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</si>
  <si>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</si>
  <si>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</si>
  <si>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</si>
  <si>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</si>
  <si>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</si>
  <si>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</si>
  <si>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</si>
  <si>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</si>
  <si>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</si>
  <si>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</si>
  <si>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</si>
  <si>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</si>
  <si>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</si>
  <si>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</si>
  <si>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</si>
  <si>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</si>
  <si>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</si>
  <si>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</si>
  <si>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</si>
  <si>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</si>
  <si>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Each 1.25 ounce scrambled egg patty provides 1.25 ounce equivalent meat alternate</t>
  </si>
  <si>
    <t>1.25 ONZ</t>
  </si>
  <si>
    <t>Each 1.25 oz. serving Scrambled Egg Pattie provides 1.25 oz. equivalent meat alternate for the Child Nutrition Meal Pattern Requirements.</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</si>
  <si>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</si>
  <si>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</si>
  <si>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</si>
  <si>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</si>
  <si>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</si>
  <si>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</si>
  <si>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</si>
  <si>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</si>
  <si>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</si>
  <si>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</si>
  <si>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</si>
  <si>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</si>
  <si>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</si>
  <si>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</si>
  <si>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</si>
  <si>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</si>
  <si>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</si>
  <si>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</si>
  <si>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</si>
  <si>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</si>
  <si>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</si>
  <si>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</si>
  <si>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</si>
  <si>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</si>
  <si>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</si>
  <si>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</si>
  <si>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</si>
  <si>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</si>
  <si>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</si>
  <si>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</si>
  <si>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</si>
  <si>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</si>
  <si>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</si>
  <si>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</si>
  <si>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</si>
  <si>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</si>
  <si>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</si>
  <si>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</si>
  <si>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</si>
  <si>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</si>
  <si>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</si>
  <si>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</si>
  <si>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</si>
  <si>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</si>
  <si>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</si>
  <si>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</si>
  <si>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</si>
  <si>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</si>
  <si>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</si>
  <si>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</si>
  <si>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</si>
  <si>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</si>
  <si>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</si>
  <si>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</si>
  <si>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</si>
  <si>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</si>
  <si>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</si>
  <si>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</si>
  <si>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</si>
  <si>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</si>
  <si>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</si>
  <si>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</si>
  <si>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</si>
  <si>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</si>
  <si>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</si>
  <si>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</si>
  <si>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</si>
  <si>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</si>
  <si>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</si>
  <si>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</si>
  <si>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</si>
  <si>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</si>
  <si>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</si>
  <si>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</si>
  <si>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</si>
  <si>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</si>
  <si>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</si>
  <si>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</si>
  <si>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</si>
  <si>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</si>
  <si>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</si>
  <si>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</si>
  <si>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</si>
  <si>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</si>
  <si>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</si>
  <si>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</si>
  <si>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</si>
  <si>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</si>
  <si>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</si>
  <si>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</si>
  <si>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</si>
  <si>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</si>
  <si>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</si>
  <si>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</si>
  <si>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</si>
  <si>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</si>
  <si>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</si>
  <si>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</si>
  <si>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</si>
  <si>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</si>
  <si>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</si>
  <si>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</si>
  <si>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</si>
  <si>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</si>
  <si>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</si>
  <si>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</si>
  <si>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</si>
  <si>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</si>
  <si>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</si>
  <si>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</si>
  <si>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</si>
  <si>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</si>
  <si>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</si>
  <si>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</si>
  <si>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</si>
  <si>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</si>
  <si>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</si>
  <si>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</si>
  <si>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</si>
  <si>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</si>
  <si>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</si>
  <si>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</si>
  <si>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</si>
  <si>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</si>
  <si>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</si>
  <si>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</si>
  <si>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</si>
  <si>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</si>
  <si>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</si>
  <si>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</si>
  <si>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</si>
  <si>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</si>
  <si>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</si>
  <si>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</si>
  <si>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</si>
  <si>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</si>
  <si>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</si>
  <si>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</si>
  <si>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</si>
  <si>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</si>
  <si>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</si>
  <si>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</si>
  <si>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</si>
  <si>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</si>
  <si>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</si>
  <si>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</si>
  <si>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</si>
  <si>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</si>
  <si>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</si>
  <si>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</si>
  <si>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</si>
  <si>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</si>
  <si>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</si>
  <si>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</si>
  <si>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</si>
  <si>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</si>
  <si>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</si>
  <si>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</si>
  <si>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</si>
  <si>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</si>
  <si>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</si>
  <si>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</si>
  <si>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</si>
  <si>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</si>
  <si>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</si>
  <si>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</si>
  <si>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</si>
  <si>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</si>
  <si>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</si>
  <si>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</si>
  <si>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</si>
  <si>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</si>
  <si>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</si>
  <si>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</si>
  <si>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</si>
  <si>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</si>
  <si>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</si>
  <si>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</si>
  <si>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</si>
  <si>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</si>
  <si>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</si>
  <si>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</si>
  <si>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</si>
  <si>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</si>
  <si>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</si>
  <si>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</si>
  <si>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</si>
  <si>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</si>
  <si>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</si>
  <si>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</si>
  <si>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</si>
  <si>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</si>
  <si>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</si>
  <si>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</si>
  <si>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</si>
  <si>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</si>
  <si>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</si>
  <si>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</si>
  <si>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</si>
  <si>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</si>
  <si>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</si>
  <si>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</si>
  <si>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</si>
  <si>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</si>
  <si>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</si>
  <si>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</si>
  <si>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</si>
  <si>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</si>
  <si>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</si>
  <si>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</si>
  <si>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</si>
  <si>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</si>
  <si>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</si>
  <si>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</si>
  <si>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</si>
  <si>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</si>
  <si>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</si>
  <si>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</si>
  <si>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</si>
  <si>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</si>
  <si>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</si>
  <si>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</si>
  <si>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</si>
  <si>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</si>
  <si>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</si>
  <si>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</si>
  <si>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</si>
  <si>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</si>
  <si>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</si>
  <si>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</si>
  <si>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</si>
  <si>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</si>
  <si>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</si>
  <si>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</si>
  <si>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</si>
  <si>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</si>
  <si>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</si>
  <si>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</si>
  <si>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</si>
  <si>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</si>
  <si>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</si>
  <si>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</si>
  <si>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</si>
  <si>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</si>
  <si>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</si>
  <si>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</si>
  <si>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</si>
  <si>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</si>
  <si>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</si>
  <si>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</si>
  <si>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</si>
  <si>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</si>
  <si>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</si>
  <si>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</si>
  <si>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</si>
  <si>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</si>
  <si>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</si>
  <si>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</si>
  <si>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</si>
  <si>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</si>
  <si>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</si>
  <si>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</si>
  <si>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</si>
  <si>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</si>
  <si>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</si>
  <si>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</si>
  <si>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</si>
  <si>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</si>
  <si>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</si>
  <si>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</si>
  <si>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</si>
  <si>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</si>
  <si>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</si>
  <si>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</si>
  <si>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</si>
  <si>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</si>
  <si>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</si>
  <si>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</si>
  <si>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</si>
  <si>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</si>
  <si>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</si>
  <si>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</si>
  <si>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</si>
  <si>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</si>
  <si>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</si>
  <si>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</si>
  <si>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</si>
  <si>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</si>
  <si>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</si>
  <si>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</si>
  <si>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</si>
  <si>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</si>
  <si>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</si>
  <si>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</si>
  <si>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</si>
  <si>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</si>
  <si>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</si>
  <si>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</si>
  <si>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</si>
  <si>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</si>
  <si>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</si>
  <si>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</si>
  <si>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</si>
  <si>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</si>
  <si>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</si>
  <si>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</si>
  <si>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</si>
  <si>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</si>
  <si>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</si>
  <si>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</si>
  <si>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</si>
  <si>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</si>
  <si>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</si>
  <si>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</si>
  <si>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</si>
  <si>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</si>
  <si>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</si>
  <si>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</si>
  <si>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</si>
  <si>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</si>
  <si>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</si>
  <si>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</si>
  <si>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</si>
  <si>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</si>
  <si>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</si>
  <si>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</si>
  <si>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</si>
  <si>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</si>
  <si>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</si>
  <si>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</si>
  <si>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</si>
  <si>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</si>
  <si>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</si>
  <si>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</si>
  <si>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</si>
  <si>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</si>
  <si>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</si>
  <si>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</si>
  <si>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</si>
  <si>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</si>
  <si>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</si>
  <si>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</si>
  <si>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</si>
  <si>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</si>
  <si>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</si>
  <si>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</si>
  <si>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</si>
  <si>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</si>
  <si>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</si>
  <si>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</si>
  <si>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</si>
  <si>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</si>
  <si>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</si>
  <si>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</si>
  <si>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</si>
  <si>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</si>
  <si>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</si>
  <si>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</si>
  <si>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</si>
  <si>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</si>
  <si>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</si>
  <si>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</si>
  <si>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</si>
  <si>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</si>
  <si>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</si>
  <si>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</si>
  <si>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</si>
  <si>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</si>
  <si>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</si>
  <si>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</si>
  <si>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</si>
  <si>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</si>
  <si>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</si>
  <si>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</si>
  <si>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</si>
  <si>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</si>
  <si>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</si>
  <si>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</si>
  <si>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</si>
  <si>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</si>
  <si>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</si>
  <si>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</si>
  <si>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</si>
  <si>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</si>
  <si>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</si>
  <si>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</si>
  <si>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</si>
  <si>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</si>
  <si>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</si>
  <si>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</si>
  <si>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</si>
  <si>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</si>
  <si>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</si>
  <si>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</si>
  <si>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</si>
  <si>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</si>
  <si>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</si>
  <si>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</si>
  <si>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 Lb IQF Frozen Wild Blueberries</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</si>
  <si>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</si>
  <si>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</si>
  <si>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</si>
  <si>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</si>
  <si>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</si>
  <si>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</si>
  <si>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</si>
  <si>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</si>
  <si>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</si>
  <si>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</si>
  <si>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</si>
  <si>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</si>
  <si>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</si>
  <si>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</si>
  <si>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</si>
  <si>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</si>
  <si>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</si>
  <si>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https://redgold.widen.net/view/pdf/nq9ic5sckw/10-Red-Gold-SY2324-K12-Summary-Product-Formulation-Statement-04212023-dm.pdf?</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</si>
  <si>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</si>
  <si>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</si>
  <si>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</si>
  <si>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</si>
  <si>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</si>
  <si>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</si>
  <si>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</si>
  <si>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</si>
  <si>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</si>
  <si>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</si>
  <si>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</si>
  <si>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</si>
  <si>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</si>
  <si>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</si>
  <si>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</si>
  <si>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</si>
  <si>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Inn Foods</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</si>
  <si>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</si>
  <si>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</si>
  <si>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</si>
  <si>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</si>
  <si>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</si>
  <si>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</si>
  <si>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</si>
  <si>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</si>
  <si>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</si>
  <si>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</si>
  <si>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</si>
  <si>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</si>
  <si>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</si>
  <si>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</si>
  <si>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</si>
  <si>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</si>
  <si>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</si>
  <si>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Prepared Navy Beans, Water, Sugar, Corn Syrup, Tomato Paste, Salt, Paprika, Onion Powder, Mustard Flour, Natural Flavors.</t>
  </si>
  <si>
    <t>USDA Low Sodium Pinto Beans 6/10 Case</t>
  </si>
  <si>
    <t>2024-05-23 11:46:56</t>
  </si>
  <si>
    <t>10034700512140</t>
  </si>
  <si>
    <t>Allens</t>
  </si>
  <si>
    <t>Bean, Lima Green Small Canned</t>
  </si>
  <si>
    <t>Bean, Lima Grn Small Cnd</t>
  </si>
  <si>
    <t>Canned Vegetable</t>
  </si>
  <si>
    <t>AS, AU, UN, AC, AE, AF, AM, AN, AP, AY, UW</t>
  </si>
  <si>
    <t>2022-10-04 12:26:23</t>
  </si>
  <si>
    <t>Prepared Lima Beans, Water, Salt, Calcium Chloride Added To Help Maintain Firmness, Calcium Disodium Edta Added To Help Promote Color Retention</t>
  </si>
  <si>
    <t>USDA CANNED PORK</t>
  </si>
  <si>
    <t>2024-05-06 14:27:38</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</si>
  <si>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</si>
  <si>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</si>
  <si>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</si>
  <si>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</si>
  <si>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</si>
  <si>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</si>
  <si>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</si>
  <si>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</si>
  <si>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</si>
  <si>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</si>
  <si>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6/10 LAKESIDE PEAS</t>
  </si>
  <si>
    <t>2024-05-06 14:14:11</t>
  </si>
  <si>
    <t>Villa d'Este Tomato Paste 6 pack 111oz non-BPA intent cans</t>
  </si>
  <si>
    <t>Vine Ripe No Salt Added Diced Tomatoes, 102oz Can</t>
  </si>
  <si>
    <t>14.17 GRM</t>
  </si>
  <si>
    <t xml:space="preserve">Tomatoes, Tomato Juice, Less Than 2% of: Calcium Chloride, Citric Acid
</t>
  </si>
  <si>
    <t>Villa d'Este Diced Tomatoes in Juice 3/4" 6 pack 102oz non-BPA intent cans</t>
  </si>
  <si>
    <t>2024-05-22 13:12:26</t>
  </si>
  <si>
    <t>Villa d'Este Low Sodium Medium Salsa 6 pack 106oz non-BPA intent cans</t>
  </si>
  <si>
    <t>Vine Ripe Low Sodium Tomato Sauce, 106oz Can</t>
  </si>
  <si>
    <t>31.75 GRM</t>
  </si>
  <si>
    <t>Villa d'Este Low Sodium Tomato Sauce 6 pack 106oz non-BPA intent cans</t>
  </si>
  <si>
    <t>Vine Ripe Spaghetti Sauce, 106oz Can</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</si>
  <si>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</si>
  <si>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</si>
  <si>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</si>
  <si>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</si>
  <si>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</si>
  <si>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</si>
  <si>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</si>
  <si>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</si>
  <si>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</si>
  <si>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</si>
  <si>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Dickinson Frozen Foods</t>
  </si>
  <si>
    <t>Whole Durum Flour (Wheat), Semolina (Wheat), Niacin, Iron (Ferrous Sulfate), Thiamin Mononitrate, Riboflavin and Folic Acid</t>
  </si>
  <si>
    <t>1 egg patty (1.25 ounces)</t>
  </si>
  <si>
    <t>10035493893201</t>
  </si>
  <si>
    <t>High Liner Foodservice</t>
  </si>
  <si>
    <t>High Liner Foods</t>
  </si>
  <si>
    <t>High Liner Foods (USA) Incorporated</t>
  </si>
  <si>
    <t>1/40 LB Alaska Pollock, Oven Ready (Breaded) Fish Sticks, Frozen, CN</t>
  </si>
  <si>
    <t>Seafood</t>
  </si>
  <si>
    <t xml:space="preserve">Trinity Frozen Foods </t>
  </si>
  <si>
    <t>2024-08-01 08:29:06</t>
  </si>
  <si>
    <t>2024-07-18 11:43:52</t>
  </si>
  <si>
    <t xml:space="preserve">Scenic Fruit </t>
  </si>
  <si>
    <t>2024-07-09 12:57:00</t>
  </si>
  <si>
    <t>2024-07-29 09:25:59</t>
  </si>
  <si>
    <t>Vine Ripe Mild Salsa, 106oz Can</t>
  </si>
  <si>
    <t>Vine Ripe Mild Salsa</t>
  </si>
  <si>
    <t>https://redgold.widen.net/content/knkgxgptqu/jpeg/12%20Red%20Gold%20SY2425%20K12%20Summary%20Product%20Formulation%20Statement%203.11.24%20dm.jpeg?position=c&amp;color=ffffffff&amp;quality=90&amp;retina=true</t>
  </si>
  <si>
    <t>2024-07-01 17:49:48</t>
  </si>
  <si>
    <t>2024-07-01 17:34:51</t>
  </si>
  <si>
    <t>2024-07-01 17:44:21</t>
  </si>
  <si>
    <t>2024-07-01 15:41:29</t>
  </si>
  <si>
    <t>2024-07-01 15:57:08</t>
  </si>
  <si>
    <t>2024-07-01 16:25:21</t>
  </si>
  <si>
    <t>2024-07-01 15:20:59</t>
  </si>
  <si>
    <t>2024-07-02 13:29:51</t>
  </si>
  <si>
    <t>2024-07-01 13:58:15</t>
  </si>
  <si>
    <t>2024-07-02 13:06:34</t>
  </si>
  <si>
    <t>2024-09-03 08:32:56</t>
  </si>
  <si>
    <t>2024-08-16 10:23:10</t>
  </si>
  <si>
    <t>2024-08-16 10:23:11</t>
  </si>
  <si>
    <t>Four 1.0 ounce oven ready breaded fish sticks provide 2.0 ounce equivalent meat and 1.50 ounce equivalent grains</t>
  </si>
  <si>
    <t xml:space="preserve">https://assets.edgenet.com/88e69b21-a4c7-4c7f-bfa4-7862199628a0 </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</si>
  <si>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</si>
  <si>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2024-08-13 13:39:54</t>
  </si>
  <si>
    <t>2024-10-01 08:11:27</t>
  </si>
  <si>
    <t>2024-09-24 13:02:39</t>
  </si>
  <si>
    <t>AC, AE, AF, AN, AP, AS, AY, UM, UW, AM</t>
  </si>
  <si>
    <t>2024-11-01 08:56:02</t>
  </si>
  <si>
    <t>2024-10-17 14:11:17</t>
  </si>
  <si>
    <t>2024-10-15 15:11:08</t>
  </si>
  <si>
    <t>{'contentDescription': [{'qual': 'en', 'value': 'Child Nutrition Label'}], 'referencedFileTypeCode': 'CHILD_NUTRITION_LABEL', 'fileFormatName': 'JPG', 'uniformResourceIdentifier': 'https://images.salsify.com/image/upload/s--DtHvpNqq--/w_1000,h_1000,c_fit,dn_300/ghgtw7dfnhpvceq5ua4q.jpg'}</t>
  </si>
  <si>
    <t>2024-10-16 10:38:03</t>
  </si>
  <si>
    <t>2024-10-11 15:12:00</t>
  </si>
  <si>
    <t>00041760091167</t>
  </si>
  <si>
    <t>Del Monte® Sliced Apples in Water, 104 oz. Can</t>
  </si>
  <si>
    <t>2024-10-21 15:06:55</t>
  </si>
  <si>
    <t>Del Monte® Mixed Fruit in Extra Light Syrup, 105 oz. Can</t>
  </si>
  <si>
    <t>Del Monte® Sliced Peaches In Extra Light Syrup, Canned Fruit, 105 oz. Can</t>
  </si>
  <si>
    <t>Del Monte® Diced Peaches in Extra Light Syrup, 105 oz. Can</t>
  </si>
  <si>
    <t>2024-10-17 18:17:21</t>
  </si>
  <si>
    <t>Del Monte® Quality Lite Sliced Pears, 105 oz. Can</t>
  </si>
  <si>
    <t>Del Monte® Lite Diced Pears in Extra Light Syrup, 105 oz. Can</t>
  </si>
  <si>
    <t>Del Monte® Unsweetened Applesauce, 106 oz. Can</t>
  </si>
  <si>
    <t>2024-10-21 15:06:54</t>
  </si>
  <si>
    <t>2024-10-03 13:56:28</t>
  </si>
  <si>
    <t>2024-10-09 09:40:25</t>
  </si>
  <si>
    <t>2024-10-02 16:00:33</t>
  </si>
  <si>
    <t>2024-10-26 02:43:05</t>
  </si>
  <si>
    <t>2024-10-26 02:48:48</t>
  </si>
  <si>
    <t>2024-10-26 03:27:45</t>
  </si>
  <si>
    <t>Cherry Central Cooperative</t>
  </si>
  <si>
    <t>2024-12-02 08:27:14</t>
  </si>
  <si>
    <t>2024-11-18 12:38:46</t>
  </si>
  <si>
    <t>2024-11-18 12:38:42</t>
  </si>
  <si>
    <t>00715001107237</t>
  </si>
  <si>
    <t>Fig Garden Packing, Inc.</t>
  </si>
  <si>
    <t>Fig Garden Packing Inc.</t>
  </si>
  <si>
    <t>Dried Cranberries 1.16oz Bag</t>
  </si>
  <si>
    <t>Dried Fruits</t>
  </si>
  <si>
    <t>Dried Cranberries, Sugar, Sunflower Oil</t>
  </si>
  <si>
    <t>00713480101265</t>
  </si>
  <si>
    <t>4 x10 lbr vacuum-sealed packges fully cooked smoked turkey ham</t>
  </si>
  <si>
    <t>HOF HAUS Smoked Turkey Ham</t>
  </si>
  <si>
    <t>57 GRM</t>
  </si>
  <si>
    <t>AP, UW, AM, UN, AF, AE, AN, AY</t>
  </si>
  <si>
    <t>2023-08-24 01:28:31</t>
  </si>
  <si>
    <t>Cured Turkey Thigh Meat, Water, Dextrose, Potassium Chloride, Salt, Modified Tapioca Starch, Sodium Phosphate, Sodium Lactate, Sodium Acetate, Hickory Smoke Flavor, Sodium Diacetate, Sodium Erythorbate, Sodium Nitrite.</t>
  </si>
  <si>
    <t>00713480109117</t>
  </si>
  <si>
    <t>8 x 5 lbr vacuum-sealed packges fully cooked smoked pre-sliced turkey ham</t>
  </si>
  <si>
    <t>HOF HAUS Smoked Sliced Turkey Ham</t>
  </si>
  <si>
    <t>2023-08-24 01:34:20</t>
  </si>
  <si>
    <t>10810869031919</t>
  </si>
  <si>
    <t>Mistica Ranch</t>
  </si>
  <si>
    <t>Mistica Foods LLC</t>
  </si>
  <si>
    <t>Mistica Foods, LLC</t>
  </si>
  <si>
    <t>Beef Patty CKD FRZ 2.0 40lb</t>
  </si>
  <si>
    <t>Beef Patty CKD FRZ 2.0 MMA 40lb</t>
  </si>
  <si>
    <t>1 patty (62 g)</t>
  </si>
  <si>
    <t xml:space="preserve">https://assets.edgenet.com/bf849b6d-2c5c-4957-84af-7543d74bcedd </t>
  </si>
  <si>
    <t>2024-11-14 16:07:00</t>
  </si>
  <si>
    <t>Ground Beef (Not More Than 15% Fat), Water, Contains Less Than 2% Of Salt, Hydrolyzed Soy Protein, Dextrose, Natural Flavors, Lemon Juice Concentrate, Sodium Carbonate</t>
  </si>
  <si>
    <t>10810869031926</t>
  </si>
  <si>
    <t>Beef Patty SPP Home style CKD 40lb</t>
  </si>
  <si>
    <t>Beef Patty SPP Home Style CKD</t>
  </si>
  <si>
    <t xml:space="preserve">https://assets.edgenet.com/4bf7192d-38d3-4eea-8b55-10d8262e2ec1 </t>
  </si>
  <si>
    <t>Ground Beef (Not More Than 15% Fat), Water, Textured Soy Protein (Soy Flour, Caramel Color), Contains Less Than 2 % Of Onion, Modified Food Starch, Salt, Sugar, Xanthan Gum, Calcium Chloride, Garlic Powder, Spice.</t>
  </si>
  <si>
    <t>2024-11-04 15:50:38</t>
  </si>
  <si>
    <t>2024-11-04 15:50:37</t>
  </si>
  <si>
    <t>80</t>
  </si>
  <si>
    <t xml:space="preserve">Apple Juice, 100%, Unsweetened, Cups, Frozen </t>
  </si>
  <si>
    <t>This item is U.S. Grade A apple juice. It is delivered frozen in cases with 96 individual portion 4-ounce cups.</t>
  </si>
  <si>
    <t>One 4-ounce serving of apple juice credits as ½ cup fruit.</t>
  </si>
  <si>
    <t>4 fl oz</t>
  </si>
  <si>
    <t>Black Bean Burger, Patties, Cooked, 2.0 MMA, Frozen</t>
  </si>
  <si>
    <t>This item is a fully cooked black bean burger patty with a mild southwest flavor. This product is individually quick frozen and delivered in a 30-pound case.</t>
  </si>
  <si>
    <t>One 3.5-ounce fully cooked black bean burger patty credits as 2 ounce equivalents meat/meat alternate.</t>
  </si>
  <si>
    <t>One 3.5 ounce patty (2 oz equivalent meat alternate)</t>
  </si>
  <si>
    <t>Chicken, Pulled, Cooked, Frozen</t>
  </si>
  <si>
    <t>This item is fully cooked, minimally seasoned pulled white meat chicken. This product is delivered frozen in cases containing six 5-pound or three 10-pound packages.</t>
  </si>
  <si>
    <t>Approximately 2 ounces of pulled chicken credits as 2 ounce equivalent meat/meat alternate. Confirm individual vendor crediting by using the CN Label or the product formulation statement.</t>
  </si>
  <si>
    <t>Beef, Coarse Ground, Cooked, Canned</t>
  </si>
  <si>
    <t>Pork, Coarse Ground, Cooked, Canned</t>
  </si>
  <si>
    <t>Beef, Fine Ground, 100%, 85/15, Raw, Frozen</t>
  </si>
  <si>
    <t>Beef, Fine Ground, 100%, 85/15, LFTB OPT, Raw, Frozen</t>
  </si>
  <si>
    <t>Beef, Patties, 100%, 85/15, Raw, 2.0 MMA, Frozen</t>
  </si>
  <si>
    <t>Beef, Patties, 100%, 90/10, Raw, 2.0 MMA, Frozen</t>
  </si>
  <si>
    <t>Beef, Patties w/SPP, 85/15, Raw, 2.0 MMA, Frozen</t>
  </si>
  <si>
    <t>Chicken, Cut-up, Raw, Frozen</t>
  </si>
  <si>
    <t xml:space="preserve">Turkey, Roast, Raw, Frozen </t>
  </si>
  <si>
    <t>Chicken, Boned, White Meat, Cooked, Canned</t>
  </si>
  <si>
    <t>Apple Juice, 100%, Unsweetened, Cups, Frozen</t>
  </si>
  <si>
    <t xml:space="preserve">Chicken, Pulled, Cooked, Frozen </t>
  </si>
  <si>
    <t>Beef, Patties, Lean, Raw, 2.0 MMA, Frozen</t>
  </si>
  <si>
    <t>Turkey, Roast, Raw, Frozen</t>
  </si>
  <si>
    <t>2025-01-08 08:30:06</t>
  </si>
  <si>
    <t>2025-01-06 16:45:42</t>
  </si>
  <si>
    <t>2024-12-27 11:17:01</t>
  </si>
  <si>
    <t>00070801002787</t>
  </si>
  <si>
    <t>ENRICCO Y CHED SHRD 5 LB USDA</t>
  </si>
  <si>
    <t>AC, AN, UW, AF, AE, AM, AY, AP, AS</t>
  </si>
  <si>
    <t>2024-12-18 12:19:18</t>
  </si>
  <si>
    <t>Cheddar Cheese (Cultured Pasteurized Milk, Salt, Enzymes, and Annatto (Color)), Potato and Corn Starches (Anti-Caking Agents) and Natamycin (a Natural Mold Inhibitor).</t>
  </si>
  <si>
    <t>HL 8/5lb APol OR Brd StkCN USDA</t>
  </si>
  <si>
    <t>2024-12-17 13:47:00</t>
  </si>
  <si>
    <t>PNW/Quincy</t>
  </si>
  <si>
    <t>2024-12-19 12:22:00</t>
  </si>
  <si>
    <t>Anacapa Foods</t>
  </si>
  <si>
    <t>2024-12-19 12:02:00</t>
  </si>
  <si>
    <t>2024-12-13 15:22:00</t>
  </si>
  <si>
    <t>2024-12-19 12:47:00</t>
  </si>
  <si>
    <t>2024-12-19 10:52:00</t>
  </si>
  <si>
    <t>2024-12-19 12:07:00</t>
  </si>
  <si>
    <t>Lamb Weston</t>
  </si>
  <si>
    <t>OPC/Arbre</t>
  </si>
  <si>
    <t>2024-12-19 12:32:00</t>
  </si>
  <si>
    <t>2024-12-19 12:27:00</t>
  </si>
  <si>
    <t>Cebro Frozen Foods</t>
  </si>
  <si>
    <t>2024-12-19 12:12:00</t>
  </si>
  <si>
    <t>2025-01-06 13:26:35</t>
  </si>
  <si>
    <t>2025-01-06 11:03:01</t>
  </si>
  <si>
    <t>2025-01-06 11:06:08</t>
  </si>
  <si>
    <t>00000790901617</t>
  </si>
  <si>
    <t>10817134024232</t>
  </si>
  <si>
    <t>2024-12-10 08:58:03</t>
  </si>
  <si>
    <t xml:space="preserve">Chicken, Cut-up, Raw, Frozen </t>
  </si>
  <si>
    <t>2024-12-09 15:51:37</t>
  </si>
  <si>
    <t>Pork, Leg Roast, Raw, Frozen</t>
  </si>
  <si>
    <t xml:space="preserve">111790 Apple Juice, 100%, Unsweetened, Cups, Frozen </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</si>
  <si>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</si>
  <si>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</si>
  <si>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</si>
  <si>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</si>
  <si>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</si>
  <si>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</si>
  <si>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</si>
  <si>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</si>
  <si>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</si>
  <si>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</si>
  <si>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</si>
  <si>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</si>
  <si>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</si>
  <si>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</si>
  <si>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</si>
  <si>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</si>
  <si>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</si>
  <si>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</si>
  <si>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</si>
  <si>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</si>
  <si>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</si>
  <si>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</si>
  <si>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</si>
  <si>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</si>
  <si>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</si>
  <si>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</si>
  <si>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</si>
  <si>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</si>
  <si>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</si>
  <si>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</si>
  <si>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100127 Beef, Coarse Ground, Cooked, Canned</t>
  </si>
  <si>
    <t xml:space="preserve">100134 Beef, Crumbles w/SPP, Cooked, Frozen </t>
  </si>
  <si>
    <t>100158 Beef, Fine Ground, 100%, 85/15, Raw, Frozen</t>
  </si>
  <si>
    <t>110261 Beef, Fine Ground, 100%, 85/15, LFTB OPT, Raw, Frozen</t>
  </si>
  <si>
    <t>110349 Beef, Patties, 100%, 85/15, Raw, 2.0 MMA, Frozen</t>
  </si>
  <si>
    <t>110346 Beef, Patties, 100%, 90/10, Raw, 2.0 MMA, Frozen</t>
  </si>
  <si>
    <t>100163 Beef, Patties, Lean, Raw, 2.0 MMA, Frozen</t>
  </si>
  <si>
    <t>110348 Beef, Patties w/SPP, 85/15, Raw, 2.0 MMA, Frozen</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</si>
  <si>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</si>
  <si>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</si>
  <si>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</si>
  <si>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</si>
  <si>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</si>
  <si>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</si>
  <si>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</si>
  <si>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</si>
  <si>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</si>
  <si>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</si>
  <si>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</si>
  <si>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</si>
  <si>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</si>
  <si>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</si>
  <si>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</si>
  <si>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</si>
  <si>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</si>
  <si>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</si>
  <si>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</si>
  <si>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</si>
  <si>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</si>
  <si>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</si>
  <si>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</si>
  <si>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</si>
  <si>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</si>
  <si>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</si>
  <si>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</si>
  <si>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</si>
  <si>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</si>
  <si>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</si>
  <si>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</si>
  <si>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</si>
  <si>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</si>
  <si>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</si>
  <si>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</si>
  <si>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</si>
  <si>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</si>
  <si>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</si>
  <si>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</si>
  <si>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</si>
  <si>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</si>
  <si>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</si>
  <si>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</si>
  <si>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</si>
  <si>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</si>
  <si>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</si>
  <si>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</si>
  <si>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</si>
  <si>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111860 Black Bean Burger, Patties, Cooked, 2.0 MMA, Frozen</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</si>
  <si>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</si>
  <si>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</si>
  <si>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</si>
  <si>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</si>
  <si>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</si>
  <si>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</si>
  <si>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</si>
  <si>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Coarse Ground, Cooked, Canned</t>
  </si>
  <si>
    <t>100173 Pork, Leg Roast, Raw, Frozen</t>
  </si>
  <si>
    <t>110730 Pork, Pulled, Cooked, Frozen</t>
  </si>
  <si>
    <t>100877 Chicken, Boned, White Meat, Cooked, Canned</t>
  </si>
  <si>
    <t>111361 Chicken, Cut-up, Raw, Frozen</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</si>
  <si>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</si>
  <si>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</si>
  <si>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</si>
  <si>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</si>
  <si>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111881 Chicken, Pulled, Cooked, Frozen</t>
  </si>
  <si>
    <t>110462 Chicken, Unseasoned Grilled Strips, Cooked, Frozen</t>
  </si>
  <si>
    <t xml:space="preserve">100121 Turkey, Deli Breast, Frozen </t>
  </si>
  <si>
    <t>111900 Turkey, Deli Breast, Sliced, Frozen</t>
  </si>
  <si>
    <t xml:space="preserve">100122 Turkey, Deli Breast, Smoked, Frozen </t>
  </si>
  <si>
    <t>111882 Turkey, Deli Breast, Smoked, Sliced, Frozen</t>
  </si>
  <si>
    <t>100126 Turkey, Deli Ham, Smoked, Frozen</t>
  </si>
  <si>
    <t>111893 Turkey, Deli Ham, Smoked, Sliced, Frozen</t>
  </si>
  <si>
    <t xml:space="preserve">100125 Turkey, Roast, Raw, Frozen </t>
  </si>
  <si>
    <t xml:space="preserve">100119 Turkey, Taco Filling, Cooked, Frozen </t>
  </si>
  <si>
    <t>111368 K Chicken, Cut-Up, Frozen</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</si>
  <si>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</si>
  <si>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</si>
  <si>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</si>
  <si>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</si>
  <si>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</si>
  <si>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</si>
  <si>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</si>
  <si>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</si>
  <si>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</si>
  <si>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</si>
  <si>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</si>
  <si>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</si>
  <si>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</si>
  <si>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</si>
  <si>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</si>
  <si>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</si>
  <si>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</si>
  <si>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</si>
  <si>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</si>
  <si>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</si>
  <si>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</si>
  <si>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</si>
  <si>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</si>
  <si>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</si>
  <si>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</si>
  <si>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</si>
  <si>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</si>
  <si>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</si>
  <si>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</si>
  <si>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</si>
  <si>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</si>
  <si>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</si>
  <si>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111750 Yogurt, High-Protein, Vanilla, Chilled (K)</t>
  </si>
  <si>
    <t>110400 Yogurt, High-Protein, Blueberry, Chilled (K)</t>
  </si>
  <si>
    <t>110401 Yogurt, High-Protein, Strawberry, Chilled (K)</t>
  </si>
  <si>
    <t>110402 Yogurt, High-Protein, Vanilla, Chilled (K)</t>
  </si>
  <si>
    <t>111900</t>
  </si>
  <si>
    <t>111882</t>
  </si>
  <si>
    <t xml:space="preserve">3.5 ounce </t>
  </si>
  <si>
    <t>1 bag</t>
  </si>
  <si>
    <t>4 sticks (4 ounces)</t>
  </si>
  <si>
    <t>00086289132878</t>
  </si>
  <si>
    <t>Lakeside Foods/Smith Frozen Foods</t>
  </si>
  <si>
    <t>AM, AE, AF, UN, AN, AP, UW, AY, AS</t>
  </si>
  <si>
    <t>2025-02-03 09:14:02</t>
  </si>
  <si>
    <t>2025-01-13 15:32:00</t>
  </si>
  <si>
    <t>00086289112870</t>
  </si>
  <si>
    <t>Nortera</t>
  </si>
  <si>
    <t>AM, AE, AF, UN, UW, AN, AP, AY, AS</t>
  </si>
  <si>
    <t>00086289122879</t>
  </si>
  <si>
    <t>Twin City Foods</t>
  </si>
  <si>
    <t>AE, AM, AF, UN, AN, AP, AY, AS, UW</t>
  </si>
  <si>
    <t>00086289117707</t>
  </si>
  <si>
    <t xml:space="preserve">Oregon Potato Company </t>
  </si>
  <si>
    <t>10086289238645</t>
  </si>
  <si>
    <t xml:space="preserve">Willamette Valley Fruit </t>
  </si>
  <si>
    <t>AE, AM, AF, UN, AN, AP, UW, AY, AS</t>
  </si>
  <si>
    <t>2025-01-13 15:37:00</t>
  </si>
  <si>
    <t>10086289228646</t>
  </si>
  <si>
    <t>Titan Frozen Foods</t>
  </si>
  <si>
    <t>00086289128727</t>
  </si>
  <si>
    <t>00086289138726</t>
  </si>
  <si>
    <t>00086289118728</t>
  </si>
  <si>
    <t>10086289228639</t>
  </si>
  <si>
    <t>10086289218630</t>
  </si>
  <si>
    <t>00086289251746</t>
  </si>
  <si>
    <t>00086289271744</t>
  </si>
  <si>
    <t>New Carrot Farms/Bolthouse Farms</t>
  </si>
  <si>
    <t>AM, AF, AE, UN, AN, AP, UW, AY, AS</t>
  </si>
  <si>
    <t>00086289261745</t>
  </si>
  <si>
    <t>00086289217865</t>
  </si>
  <si>
    <t>PNW Norpac</t>
  </si>
  <si>
    <t>00086289221282</t>
  </si>
  <si>
    <t>00086289211283</t>
  </si>
  <si>
    <t>Michigan Freeze Pack</t>
  </si>
  <si>
    <t>00086289231281</t>
  </si>
  <si>
    <t>00086289241280</t>
  </si>
  <si>
    <t>10086289141457</t>
  </si>
  <si>
    <t xml:space="preserve">Inn Foods, Inc. </t>
  </si>
  <si>
    <t>10086289111450</t>
  </si>
  <si>
    <t>AM, AE, AF, UN, AN, AP, AS, AY, UW</t>
  </si>
  <si>
    <t>10086289151456</t>
  </si>
  <si>
    <t>AM, AE, AF, UN, AN, AP, UW, AS, AY</t>
  </si>
  <si>
    <t>10086289131458</t>
  </si>
  <si>
    <t>10086289241218</t>
  </si>
  <si>
    <t>10086289231219</t>
  </si>
  <si>
    <t>AM, AE, AN, AP, AF, UN, UW, AS, AY</t>
  </si>
  <si>
    <t>10086289211211</t>
  </si>
  <si>
    <t>AM, AE, AN, AP, AF, UN, UW, AY, AS</t>
  </si>
  <si>
    <t>00086289123173</t>
  </si>
  <si>
    <t>AM, AF, AF, UN, AN, AP, UW, AY, AS</t>
  </si>
  <si>
    <t>10086289131267</t>
  </si>
  <si>
    <t>10086289111092</t>
  </si>
  <si>
    <t>PNW/Norpac</t>
  </si>
  <si>
    <t>2025-01-13 15:27:00</t>
  </si>
  <si>
    <t>10086289131090</t>
  </si>
  <si>
    <t>2025-01-31 09:05:00</t>
  </si>
  <si>
    <t>2025-01-29 12:35:54</t>
  </si>
  <si>
    <t>2025-01-29 12:37:12</t>
  </si>
  <si>
    <t>2025-01-30 07:14:42</t>
  </si>
  <si>
    <t>00073934151285</t>
  </si>
  <si>
    <t>PACIFIC COAST PRODUCERS</t>
  </si>
  <si>
    <t>Mission P Diced Peaches XLS</t>
  </si>
  <si>
    <t>Mission Pride Diced Peaches Extra L</t>
  </si>
  <si>
    <t>2025-01-27 10:13:57</t>
  </si>
  <si>
    <t>2025-01-28 05:08:28</t>
  </si>
  <si>
    <t>4 pieces (4 ounces)</t>
  </si>
  <si>
    <t>2025-01-16 02:23:36</t>
  </si>
  <si>
    <t>2025-01-16 02:27:59</t>
  </si>
  <si>
    <t>2025-01-29 02:14:05</t>
  </si>
  <si>
    <t>10664857144514</t>
  </si>
  <si>
    <t>6/5 LB Feather Shred Mild Cheddar Cheese</t>
  </si>
  <si>
    <t>Feather Shred Mild Cheddar</t>
  </si>
  <si>
    <t>Shredded Mild Cheddar Cheese</t>
  </si>
  <si>
    <t>AM, AS, AE, AN, AP, UW, UN, AF, AC, AY</t>
  </si>
  <si>
    <t>2025-01-29 08:17:00</t>
  </si>
  <si>
    <t>Pasteurized Milk, Cheese Culture, Salt, Enzymes, Color Added, Potato Starch and Powdered Cellulose Added to Prevent Caking, Natamycin (A Natural Mold Inhibitor).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</si>
</sst>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9">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
      <u/>
      <sz val="11"/>
      <name val="Calibri"/>
      <family val="2"/>
      <scheme val="minor"/>
    </font>
    <font>
      <u/>
      <sz val="11"/>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8" fillId="0" borderId="0" applyNumberFormat="0" applyFill="0" applyBorder="0" applyAlignment="0" applyProtection="0"/>
    <xf numFmtId="0" fontId="8" fillId="0" borderId="0" applyNumberFormat="0" applyFill="0" applyBorder="0" applyAlignment="0" applyProtection="0"/>
  </cellStyleXfs>
  <cellXfs count="125">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0" fillId="0" borderId="0" xfId="0" applyFont="1"/>
    <xf numFmtId="0" fontId="0" fillId="0" borderId="0" xfId="0" applyAlignment="1">
      <alignment horizontal="center"/>
    </xf>
    <xf numFmtId="0" fontId="13"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8" fillId="0" borderId="0" xfId="1" applyAlignment="1"/>
    <xf numFmtId="0" fontId="11"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5" fillId="0" borderId="0" xfId="0" applyFont="1"/>
    <xf numFmtId="0" fontId="14" fillId="0" borderId="0" xfId="0" applyFont="1"/>
    <xf numFmtId="0" fontId="14" fillId="0" borderId="0" xfId="0" applyFont="1" applyAlignment="1">
      <alignment wrapText="1"/>
    </xf>
    <xf numFmtId="0" fontId="14" fillId="0" borderId="0" xfId="0" applyFont="1" applyAlignment="1">
      <alignment horizontal="left"/>
    </xf>
    <xf numFmtId="49" fontId="14" fillId="0" borderId="0" xfId="0" applyNumberFormat="1" applyFont="1"/>
    <xf numFmtId="49" fontId="14" fillId="0" borderId="0" xfId="0" applyNumberFormat="1" applyFont="1" applyAlignment="1">
      <alignment wrapText="1"/>
    </xf>
    <xf numFmtId="164" fontId="14"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5" fillId="0" borderId="0" xfId="0" applyFont="1"/>
    <xf numFmtId="49" fontId="15" fillId="0" borderId="0" xfId="0" applyNumberFormat="1" applyFont="1"/>
    <xf numFmtId="49" fontId="14" fillId="0" borderId="0" xfId="0" applyNumberFormat="1" applyFont="1" applyAlignment="1">
      <alignment horizontal="left"/>
    </xf>
    <xf numFmtId="0" fontId="3" fillId="2" borderId="7" xfId="0" applyFont="1" applyFill="1" applyBorder="1" applyAlignment="1">
      <alignment horizontal="left" vertical="center"/>
    </xf>
    <xf numFmtId="0" fontId="14" fillId="0" borderId="0" xfId="0" applyFont="1" applyAlignment="1">
      <alignment horizontal="right"/>
    </xf>
    <xf numFmtId="0" fontId="14" fillId="0" borderId="0" xfId="0" applyFont="1" applyAlignment="1">
      <alignment horizontal="center"/>
    </xf>
    <xf numFmtId="49" fontId="5" fillId="0" borderId="0" xfId="0" applyNumberFormat="1" applyFont="1" applyAlignment="1">
      <alignment horizontal="left"/>
    </xf>
    <xf numFmtId="0" fontId="5" fillId="0" borderId="0" xfId="0" applyFont="1" applyAlignment="1">
      <alignment horizontal="right"/>
    </xf>
    <xf numFmtId="0" fontId="9" fillId="0" borderId="26" xfId="1" applyFont="1" applyBorder="1" applyAlignment="1">
      <alignment horizontal="center" vertical="center" wrapText="1"/>
    </xf>
    <xf numFmtId="49" fontId="17" fillId="0" borderId="0" xfId="2" applyNumberFormat="1" applyFont="1" applyFill="1"/>
    <xf numFmtId="49" fontId="5" fillId="0" borderId="0" xfId="0" applyNumberFormat="1" applyFont="1" applyAlignment="1">
      <alignment horizontal="right"/>
    </xf>
    <xf numFmtId="49" fontId="17" fillId="0" borderId="0" xfId="0" applyNumberFormat="1" applyFont="1"/>
    <xf numFmtId="49" fontId="5" fillId="0" borderId="0" xfId="0" applyNumberFormat="1" applyFont="1" applyAlignment="1">
      <alignment horizontal="center"/>
    </xf>
    <xf numFmtId="0" fontId="5" fillId="0" borderId="0" xfId="0" applyFont="1" applyAlignment="1">
      <alignment horizontal="center"/>
    </xf>
    <xf numFmtId="0" fontId="17" fillId="0" borderId="0" xfId="2" applyFont="1" applyFill="1"/>
    <xf numFmtId="0" fontId="5" fillId="0" borderId="0" xfId="0" applyFont="1" applyAlignment="1">
      <alignment horizontal="left" vertical="top"/>
    </xf>
    <xf numFmtId="0" fontId="9" fillId="0" borderId="0" xfId="1" applyFont="1" applyFill="1" applyAlignment="1">
      <alignment horizontal="center" vertical="center" wrapText="1"/>
    </xf>
    <xf numFmtId="0" fontId="9" fillId="0" borderId="8" xfId="1" applyFont="1" applyFill="1" applyBorder="1" applyAlignment="1">
      <alignment horizontal="center" vertical="center" wrapText="1"/>
    </xf>
    <xf numFmtId="49" fontId="0" fillId="0" borderId="0" xfId="0" applyNumberFormat="1"/>
    <xf numFmtId="0" fontId="12" fillId="2" borderId="0" xfId="0" applyFont="1" applyFill="1" applyAlignment="1">
      <alignment horizontal="center" wrapText="1"/>
    </xf>
    <xf numFmtId="0" fontId="12"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18" fillId="0" borderId="0" xfId="1" applyFont="1" applyFill="1" applyAlignment="1" applyProtection="1">
      <alignment vertical="top"/>
      <protection locked="0"/>
    </xf>
    <xf numFmtId="0" fontId="8" fillId="0" borderId="0" xfId="1" applyFill="1" applyAlignment="1" applyProtection="1">
      <alignment vertical="top"/>
      <protection locked="0"/>
    </xf>
    <xf numFmtId="164" fontId="0" fillId="0" borderId="0" xfId="0" applyNumberFormat="1"/>
    <xf numFmtId="0" fontId="18" fillId="0" borderId="0" xfId="1" applyFont="1" applyFill="1" applyAlignment="1" applyProtection="1"/>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521474155085824" TargetMode="External"/><Relationship Id="rId26" Type="http://schemas.openxmlformats.org/officeDocument/2006/relationships/hyperlink" Target="https://dam.catalog.1worldsync.com/im/dwn/GCP-5907133631561728" TargetMode="External"/><Relationship Id="rId39" Type="http://schemas.openxmlformats.org/officeDocument/2006/relationships/hyperlink" Target="https://dam.catalog.1worldsync.com/im/dwn/GCP-5930909166469120" TargetMode="External"/><Relationship Id="rId21" Type="http://schemas.openxmlformats.org/officeDocument/2006/relationships/hyperlink" Target="http://images.salsify.com/image/upload/s--XL0pHYnP--/eafroq0whn3wohz3r3cm.pdf" TargetMode="External"/><Relationship Id="rId34" Type="http://schemas.openxmlformats.org/officeDocument/2006/relationships/hyperlink" Target="https://assets.edgenet.com/1b33c782-77e3-4c29-8947-129cc95ac000" TargetMode="External"/><Relationship Id="rId42" Type="http://schemas.openxmlformats.org/officeDocument/2006/relationships/hyperlink" Target="https://redgold.widen.net/view/pdf/nq9ic5sckw/10-Red-Gold-SY2324-K12-Summary-Product-Formulation-Statement-04212023-dm.pdf?" TargetMode="External"/><Relationship Id="rId47" Type="http://schemas.openxmlformats.org/officeDocument/2006/relationships/hyperlink" Target="https://assets.edgenet.com/4bf7192d-38d3-4eea-8b55-10d8262e2ec1" TargetMode="External"/><Relationship Id="rId50" Type="http://schemas.openxmlformats.org/officeDocument/2006/relationships/printerSettings" Target="../printerSettings/printerSettings4.bin"/><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4951524413276160" TargetMode="External"/><Relationship Id="rId29"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7" Type="http://schemas.openxmlformats.org/officeDocument/2006/relationships/hyperlink" Target="https://dam.catalog.1worldsync.com/im/dwn/GCP-6207487692767232" TargetMode="External"/><Relationship Id="rId40" Type="http://schemas.openxmlformats.org/officeDocument/2006/relationships/hyperlink" Target="https://dam.catalog.1worldsync.com/im/dwn/GCP-4893839115419648" TargetMode="External"/><Relationship Id="rId45" Type="http://schemas.openxmlformats.org/officeDocument/2006/relationships/hyperlink" Target="https://assets.edgenet.com/88e69b21-a4c7-4c7f-bfa4-7862199628a0" TargetMode="External"/><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2ALCCJF1--/w_1000,h_1000,c_mpad,dn_300/tm1ocpzdxkzhqrpavwcw.jpg" TargetMode="External"/><Relationship Id="rId28" Type="http://schemas.openxmlformats.org/officeDocument/2006/relationships/hyperlink" Target="https://assets.edgenet.com/3915fb07-7c8a-42a8-aad8-7e471853afcc" TargetMode="External"/><Relationship Id="rId36" Type="http://schemas.openxmlformats.org/officeDocument/2006/relationships/hyperlink" Target="https://dam.catalog.1worldsync.com/im/dwn/GCP-6207487692767232" TargetMode="External"/><Relationship Id="rId49" Type="http://schemas.openxmlformats.org/officeDocument/2006/relationships/hyperlink" Target="https://assets.edgenet.com/4bf7192d-38d3-4eea-8b55-10d8262e2ec1"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6453002265165824" TargetMode="External"/><Relationship Id="rId31" Type="http://schemas.openxmlformats.org/officeDocument/2006/relationships/hyperlink" Target="http://images.salsify.com/image/upload/s--XL0pHYnP--/eafroq0whn3wohz3r3cm.pdf" TargetMode="External"/><Relationship Id="rId44" Type="http://schemas.openxmlformats.org/officeDocument/2006/relationships/hyperlink" Target="https://assets.edgenet.com/88e69b21-a4c7-4c7f-bfa4-7862199628a0"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5798162224644096" TargetMode="External"/><Relationship Id="rId22" Type="http://schemas.openxmlformats.org/officeDocument/2006/relationships/hyperlink" Target="http://images.salsify.com/image/upload/s--k_WaNEHS--/nwgnlmlfdxsayple3z5w.pdf" TargetMode="External"/><Relationship Id="rId27" Type="http://schemas.openxmlformats.org/officeDocument/2006/relationships/hyperlink" Target="https://redgold.widen.net/view/pdf/nq9ic5sckw/10-Red-Gold-SY2324-K12-Summary-Product-Formulation-Statement-04212023-dm.pdf?" TargetMode="External"/><Relationship Id="rId30" Type="http://schemas.openxmlformats.org/officeDocument/2006/relationships/hyperlink" Target="http://images.salsify.com/image/upload/s--k_WaNEHS--/nwgnlmlfdxsayple3z5w.pdf" TargetMode="External"/><Relationship Id="rId35" Type="http://schemas.openxmlformats.org/officeDocument/2006/relationships/hyperlink" Target="https://assets.edgenet.com/1b33c782-77e3-4c29-8947-129cc95ac000" TargetMode="External"/><Relationship Id="rId43" Type="http://schemas.openxmlformats.org/officeDocument/2006/relationships/hyperlink" Target="https://redgold.widen.net/content/knkgxgptqu/jpeg/12%20Red%20Gold%20SY2425%20K12%20Summary%20Product%20Formulation%20Statement%203.11.24%20dm.jpeg?position=c&amp;color=ffffffff&amp;quality=90&amp;retina=true" TargetMode="External"/><Relationship Id="rId48" Type="http://schemas.openxmlformats.org/officeDocument/2006/relationships/hyperlink" Target="https://assets.edgenet.com/bf849b6d-2c5c-4957-84af-7543d74bcedd"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s://dam.catalog.1worldsync.com/im/dwn/GCP-6182508211208192"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s://dam.catalog.1worldsync.com/im/dwn/GCP-5907133631561728" TargetMode="External"/><Relationship Id="rId33" Type="http://schemas.openxmlformats.org/officeDocument/2006/relationships/hyperlink" Target="https://dam.catalog.1worldsync.com/im/dwn/GCP-4521474155085824" TargetMode="External"/><Relationship Id="rId38" Type="http://schemas.openxmlformats.org/officeDocument/2006/relationships/hyperlink" Target="https://dam.catalog.1worldsync.com/im/dwn/GCP-5930909166469120" TargetMode="External"/><Relationship Id="rId46" Type="http://schemas.openxmlformats.org/officeDocument/2006/relationships/hyperlink" Target="https://assets.edgenet.com/bf849b6d-2c5c-4957-84af-7543d74bcedd"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dam.catalog.1worldsync.com/im/dwn/GCP-4893839115419648"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topLeftCell="A23" zoomScaleNormal="100" zoomScaleSheetLayoutView="100" workbookViewId="0">
      <selection activeCell="E12" sqref="E12"/>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5"/>
      <c r="C2" s="75"/>
      <c r="D2" s="75"/>
      <c r="E2" s="75"/>
      <c r="F2" s="75"/>
      <c r="G2" s="62" t="s">
        <v>0</v>
      </c>
      <c r="H2" s="75"/>
      <c r="I2" s="75"/>
      <c r="J2" s="75"/>
    </row>
    <row r="3" spans="1:10">
      <c r="F3" s="62"/>
    </row>
    <row r="4" spans="1:10" ht="15" customHeight="1">
      <c r="A4" s="63" t="s">
        <v>1</v>
      </c>
      <c r="B4" s="71"/>
      <c r="C4" s="71"/>
      <c r="D4" s="71"/>
      <c r="E4" s="71"/>
      <c r="F4" s="71"/>
      <c r="G4" s="71"/>
      <c r="H4" s="71"/>
      <c r="I4" s="71"/>
      <c r="J4" s="71"/>
    </row>
    <row r="5" spans="1:10">
      <c r="A5" t="s">
        <v>2</v>
      </c>
      <c r="B5" s="71"/>
      <c r="C5" s="71"/>
      <c r="D5" s="71"/>
      <c r="E5" s="71"/>
      <c r="F5" s="77" t="s">
        <v>3</v>
      </c>
      <c r="G5" s="77"/>
      <c r="H5" s="77"/>
      <c r="I5" s="77"/>
      <c r="J5" s="77"/>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6" t="s">
        <v>13</v>
      </c>
      <c r="C16" s="76"/>
      <c r="D16" s="76"/>
      <c r="E16" s="76"/>
      <c r="F16" s="76"/>
      <c r="G16" s="76"/>
      <c r="H16" s="76"/>
      <c r="I16" s="76"/>
      <c r="J16" s="76"/>
    </row>
    <row r="17" spans="1:10">
      <c r="B17" s="76" t="s">
        <v>14</v>
      </c>
      <c r="C17" s="76"/>
      <c r="D17" s="76"/>
      <c r="E17" s="76"/>
      <c r="F17" s="76"/>
      <c r="G17" s="76"/>
      <c r="H17" s="76"/>
      <c r="I17" s="76"/>
      <c r="J17" s="76"/>
    </row>
    <row r="18" spans="1:10">
      <c r="B18" s="76"/>
      <c r="C18" s="76"/>
      <c r="D18" s="76"/>
      <c r="E18" s="76"/>
      <c r="F18" s="76"/>
      <c r="G18" s="76"/>
      <c r="H18" s="76"/>
      <c r="I18" s="76"/>
      <c r="J18" s="76"/>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78" t="s">
        <v>45</v>
      </c>
    </row>
  </sheetData>
  <sheetProtection algorithmName="SHA-512" hashValue="nHWHmMRR2zCC9z/xHmtY77xz/OumaXiNpgCkLwoXu8i8nqIi/UpZm2qeEXa61HsO4mvT9jigLVhhdhwXktmXjA==" saltValue="GG5k0ax0VcPr5lLQPTjhfg==" spinCount="100000" sheet="1"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5"/>
  <sheetViews>
    <sheetView showGridLines="0" showRowColHeaders="0" showRuler="0" view="pageLayout" zoomScaleNormal="100" workbookViewId="0">
      <selection activeCell="D10" sqref="D10"/>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3" t="s">
        <v>46</v>
      </c>
      <c r="B1" s="114"/>
      <c r="C1" s="114"/>
      <c r="D1" s="114"/>
      <c r="E1" s="114"/>
    </row>
    <row r="2" spans="1:5" ht="59.1" customHeight="1">
      <c r="A2" s="115" t="s">
        <v>47</v>
      </c>
      <c r="B2" s="115"/>
      <c r="C2" s="115"/>
      <c r="D2" s="115"/>
      <c r="E2" s="115"/>
    </row>
    <row r="3" spans="1:5" ht="28.8">
      <c r="A3" s="64" t="s">
        <v>48</v>
      </c>
      <c r="B3" s="65" t="s">
        <v>49</v>
      </c>
      <c r="C3" s="64" t="s">
        <v>50</v>
      </c>
      <c r="D3" s="64" t="s">
        <v>51</v>
      </c>
      <c r="E3" s="66" t="s">
        <v>52</v>
      </c>
    </row>
    <row r="4" spans="1:5">
      <c r="A4" s="5" t="s">
        <v>53</v>
      </c>
      <c r="B4" s="4" t="s">
        <v>2091</v>
      </c>
      <c r="C4" s="5">
        <v>100127</v>
      </c>
      <c r="D4" s="6" t="s">
        <v>54</v>
      </c>
      <c r="E4" s="5" t="s">
        <v>55</v>
      </c>
    </row>
    <row r="5" spans="1:5">
      <c r="A5" s="5" t="s">
        <v>53</v>
      </c>
      <c r="B5" s="4" t="s">
        <v>56</v>
      </c>
      <c r="C5" s="5">
        <v>100134</v>
      </c>
      <c r="D5" s="6" t="s">
        <v>57</v>
      </c>
      <c r="E5" s="5" t="s">
        <v>55</v>
      </c>
    </row>
    <row r="6" spans="1:5">
      <c r="A6" s="5" t="s">
        <v>53</v>
      </c>
      <c r="B6" s="4" t="s">
        <v>2093</v>
      </c>
      <c r="C6" s="5">
        <v>100158</v>
      </c>
      <c r="D6" s="6" t="s">
        <v>58</v>
      </c>
      <c r="E6" s="5" t="s">
        <v>55</v>
      </c>
    </row>
    <row r="7" spans="1:5">
      <c r="A7" s="5" t="s">
        <v>53</v>
      </c>
      <c r="B7" s="4" t="s">
        <v>2103</v>
      </c>
      <c r="C7" s="5">
        <v>100163</v>
      </c>
      <c r="D7" s="6" t="s">
        <v>58</v>
      </c>
      <c r="E7" s="5" t="s">
        <v>55</v>
      </c>
    </row>
    <row r="8" spans="1:5">
      <c r="A8" s="5" t="s">
        <v>53</v>
      </c>
      <c r="B8" s="4" t="s">
        <v>2094</v>
      </c>
      <c r="C8" s="5">
        <v>110261</v>
      </c>
      <c r="D8" s="6" t="s">
        <v>58</v>
      </c>
      <c r="E8" s="5" t="s">
        <v>55</v>
      </c>
    </row>
    <row r="9" spans="1:5">
      <c r="A9" s="5" t="s">
        <v>53</v>
      </c>
      <c r="B9" s="4" t="s">
        <v>60</v>
      </c>
      <c r="C9" s="5">
        <v>110322</v>
      </c>
      <c r="D9" s="6" t="s">
        <v>58</v>
      </c>
      <c r="E9" s="5" t="s">
        <v>55</v>
      </c>
    </row>
    <row r="10" spans="1:5">
      <c r="A10" s="5" t="s">
        <v>53</v>
      </c>
      <c r="B10" s="4" t="s">
        <v>2096</v>
      </c>
      <c r="C10" s="5">
        <v>110346</v>
      </c>
      <c r="D10" s="6" t="s">
        <v>58</v>
      </c>
      <c r="E10" s="5" t="s">
        <v>55</v>
      </c>
    </row>
    <row r="11" spans="1:5">
      <c r="A11" s="5" t="s">
        <v>53</v>
      </c>
      <c r="B11" s="4" t="s">
        <v>2097</v>
      </c>
      <c r="C11" s="5">
        <v>110348</v>
      </c>
      <c r="D11" s="6" t="s">
        <v>58</v>
      </c>
      <c r="E11" s="5" t="s">
        <v>61</v>
      </c>
    </row>
    <row r="12" spans="1:5">
      <c r="A12" s="5" t="s">
        <v>53</v>
      </c>
      <c r="B12" s="4" t="s">
        <v>2095</v>
      </c>
      <c r="C12" s="5">
        <v>110349</v>
      </c>
      <c r="D12" s="6" t="s">
        <v>58</v>
      </c>
      <c r="E12" s="5" t="s">
        <v>55</v>
      </c>
    </row>
    <row r="13" spans="1:5">
      <c r="A13" s="5" t="s">
        <v>53</v>
      </c>
      <c r="B13" s="4" t="s">
        <v>62</v>
      </c>
      <c r="C13" s="5">
        <v>110711</v>
      </c>
      <c r="D13" s="6" t="s">
        <v>58</v>
      </c>
      <c r="E13" s="5" t="s">
        <v>55</v>
      </c>
    </row>
    <row r="14" spans="1:5">
      <c r="A14" s="5" t="s">
        <v>63</v>
      </c>
      <c r="B14" s="4" t="s">
        <v>64</v>
      </c>
      <c r="C14" s="5">
        <v>100002</v>
      </c>
      <c r="D14" s="5" t="s">
        <v>65</v>
      </c>
      <c r="E14" s="5" t="s">
        <v>55</v>
      </c>
    </row>
    <row r="15" spans="1:5">
      <c r="A15" s="5" t="s">
        <v>63</v>
      </c>
      <c r="B15" s="4" t="s">
        <v>66</v>
      </c>
      <c r="C15" s="5">
        <v>100003</v>
      </c>
      <c r="D15" s="5" t="s">
        <v>65</v>
      </c>
      <c r="E15" s="5" t="s">
        <v>55</v>
      </c>
    </row>
    <row r="16" spans="1:5">
      <c r="A16" s="5" t="s">
        <v>63</v>
      </c>
      <c r="B16" s="4" t="s">
        <v>67</v>
      </c>
      <c r="C16" s="5">
        <v>100012</v>
      </c>
      <c r="D16" s="5" t="s">
        <v>65</v>
      </c>
      <c r="E16" s="5" t="s">
        <v>55</v>
      </c>
    </row>
    <row r="17" spans="1:5">
      <c r="A17" s="5" t="s">
        <v>63</v>
      </c>
      <c r="B17" s="4" t="s">
        <v>68</v>
      </c>
      <c r="C17" s="5">
        <v>100017</v>
      </c>
      <c r="D17" s="6" t="s">
        <v>69</v>
      </c>
      <c r="E17" s="5" t="s">
        <v>55</v>
      </c>
    </row>
    <row r="18" spans="1:5">
      <c r="A18" s="5" t="s">
        <v>63</v>
      </c>
      <c r="B18" s="4" t="s">
        <v>70</v>
      </c>
      <c r="C18" s="5">
        <v>100018</v>
      </c>
      <c r="D18" s="6" t="s">
        <v>69</v>
      </c>
      <c r="E18" s="5" t="s">
        <v>55</v>
      </c>
    </row>
    <row r="19" spans="1:5">
      <c r="A19" s="5" t="s">
        <v>63</v>
      </c>
      <c r="B19" s="4" t="s">
        <v>71</v>
      </c>
      <c r="C19" s="5">
        <v>100019</v>
      </c>
      <c r="D19" s="6" t="s">
        <v>69</v>
      </c>
      <c r="E19" s="5" t="s">
        <v>61</v>
      </c>
    </row>
    <row r="20" spans="1:5">
      <c r="A20" s="5" t="s">
        <v>63</v>
      </c>
      <c r="B20" s="4" t="s">
        <v>72</v>
      </c>
      <c r="C20" s="5">
        <v>100021</v>
      </c>
      <c r="D20" s="5" t="s">
        <v>73</v>
      </c>
      <c r="E20" s="5" t="s">
        <v>55</v>
      </c>
    </row>
    <row r="21" spans="1:5">
      <c r="A21" s="5" t="s">
        <v>63</v>
      </c>
      <c r="B21" s="4" t="s">
        <v>74</v>
      </c>
      <c r="C21" s="5">
        <v>100022</v>
      </c>
      <c r="D21" s="5" t="s">
        <v>75</v>
      </c>
      <c r="E21" s="5" t="s">
        <v>55</v>
      </c>
    </row>
    <row r="22" spans="1:5">
      <c r="A22" s="5" t="s">
        <v>63</v>
      </c>
      <c r="B22" s="4" t="s">
        <v>76</v>
      </c>
      <c r="C22" s="5">
        <v>100034</v>
      </c>
      <c r="D22" s="5" t="s">
        <v>73</v>
      </c>
      <c r="E22" s="5" t="s">
        <v>61</v>
      </c>
    </row>
    <row r="23" spans="1:5">
      <c r="A23" s="5" t="s">
        <v>63</v>
      </c>
      <c r="B23" s="4" t="s">
        <v>77</v>
      </c>
      <c r="C23" s="5">
        <v>100036</v>
      </c>
      <c r="D23" s="6" t="s">
        <v>69</v>
      </c>
      <c r="E23" s="5" t="s">
        <v>55</v>
      </c>
    </row>
    <row r="24" spans="1:5">
      <c r="A24" s="5" t="s">
        <v>63</v>
      </c>
      <c r="B24" s="4" t="s">
        <v>78</v>
      </c>
      <c r="C24" s="5">
        <v>100037</v>
      </c>
      <c r="D24" s="6" t="s">
        <v>69</v>
      </c>
      <c r="E24" s="5" t="s">
        <v>55</v>
      </c>
    </row>
    <row r="25" spans="1:5">
      <c r="A25" s="8" t="s">
        <v>63</v>
      </c>
      <c r="B25" s="7" t="s">
        <v>79</v>
      </c>
      <c r="C25" s="8">
        <v>110396</v>
      </c>
      <c r="D25" s="5" t="s">
        <v>80</v>
      </c>
      <c r="E25" s="5" t="s">
        <v>55</v>
      </c>
    </row>
    <row r="26" spans="1:5">
      <c r="A26" s="5" t="s">
        <v>63</v>
      </c>
      <c r="B26" s="4" t="s">
        <v>81</v>
      </c>
      <c r="C26" s="5">
        <v>111110</v>
      </c>
      <c r="D26" s="5" t="s">
        <v>82</v>
      </c>
      <c r="E26" s="6" t="s">
        <v>55</v>
      </c>
    </row>
    <row r="27" spans="1:5">
      <c r="A27" s="6" t="s">
        <v>63</v>
      </c>
      <c r="B27" s="7" t="s">
        <v>83</v>
      </c>
      <c r="C27" s="6">
        <v>111220</v>
      </c>
      <c r="D27" s="6" t="s">
        <v>84</v>
      </c>
      <c r="E27" s="6" t="s">
        <v>55</v>
      </c>
    </row>
    <row r="28" spans="1:5">
      <c r="A28" s="6" t="s">
        <v>85</v>
      </c>
      <c r="B28" s="4" t="s">
        <v>86</v>
      </c>
      <c r="C28" s="5">
        <v>100046</v>
      </c>
      <c r="D28" s="6" t="s">
        <v>87</v>
      </c>
      <c r="E28" s="5" t="s">
        <v>55</v>
      </c>
    </row>
    <row r="29" spans="1:5">
      <c r="A29" s="6" t="s">
        <v>85</v>
      </c>
      <c r="B29" s="4" t="s">
        <v>86</v>
      </c>
      <c r="C29" s="5">
        <v>110845</v>
      </c>
      <c r="D29" s="6" t="s">
        <v>88</v>
      </c>
      <c r="E29" s="5" t="s">
        <v>55</v>
      </c>
    </row>
    <row r="30" spans="1:5">
      <c r="A30" s="5" t="s">
        <v>85</v>
      </c>
      <c r="B30" s="4" t="s">
        <v>89</v>
      </c>
      <c r="C30" s="5">
        <v>111751</v>
      </c>
      <c r="D30" s="6" t="s">
        <v>90</v>
      </c>
      <c r="E30" s="6" t="s">
        <v>55</v>
      </c>
    </row>
    <row r="31" spans="1:5">
      <c r="A31" s="5" t="s">
        <v>91</v>
      </c>
      <c r="B31" s="4" t="s">
        <v>92</v>
      </c>
      <c r="C31" s="5">
        <v>100201</v>
      </c>
      <c r="D31" s="6" t="s">
        <v>93</v>
      </c>
      <c r="E31" s="5" t="s">
        <v>61</v>
      </c>
    </row>
    <row r="32" spans="1:5">
      <c r="A32" s="6" t="s">
        <v>91</v>
      </c>
      <c r="B32" s="7" t="s">
        <v>94</v>
      </c>
      <c r="C32" s="6">
        <v>110851</v>
      </c>
      <c r="D32" s="6" t="s">
        <v>93</v>
      </c>
      <c r="E32" s="5" t="s">
        <v>55</v>
      </c>
    </row>
    <row r="33" spans="1:5">
      <c r="A33" s="10" t="s">
        <v>95</v>
      </c>
      <c r="B33" s="9" t="s">
        <v>2101</v>
      </c>
      <c r="C33" s="10">
        <v>111790</v>
      </c>
      <c r="D33" s="10" t="s">
        <v>132</v>
      </c>
      <c r="E33" s="5" t="s">
        <v>61</v>
      </c>
    </row>
    <row r="34" spans="1:5">
      <c r="A34" s="10" t="s">
        <v>95</v>
      </c>
      <c r="B34" s="9" t="s">
        <v>96</v>
      </c>
      <c r="C34" s="10">
        <v>100206</v>
      </c>
      <c r="D34" s="10" t="s">
        <v>97</v>
      </c>
      <c r="E34" s="5" t="s">
        <v>55</v>
      </c>
    </row>
    <row r="35" spans="1:5">
      <c r="A35" s="5" t="s">
        <v>95</v>
      </c>
      <c r="B35" s="7" t="s">
        <v>98</v>
      </c>
      <c r="C35" s="5">
        <v>100212</v>
      </c>
      <c r="D35" s="5" t="s">
        <v>97</v>
      </c>
      <c r="E35" s="5" t="s">
        <v>55</v>
      </c>
    </row>
    <row r="36" spans="1:5">
      <c r="A36" s="5" t="s">
        <v>95</v>
      </c>
      <c r="B36" s="4" t="s">
        <v>99</v>
      </c>
      <c r="C36" s="5">
        <v>100216</v>
      </c>
      <c r="D36" s="5" t="s">
        <v>97</v>
      </c>
      <c r="E36" s="5" t="s">
        <v>55</v>
      </c>
    </row>
    <row r="37" spans="1:5">
      <c r="A37" s="5" t="s">
        <v>95</v>
      </c>
      <c r="B37" s="7" t="s">
        <v>100</v>
      </c>
      <c r="C37" s="5">
        <v>100219</v>
      </c>
      <c r="D37" s="5" t="s">
        <v>97</v>
      </c>
      <c r="E37" s="5" t="s">
        <v>55</v>
      </c>
    </row>
    <row r="38" spans="1:5">
      <c r="A38" s="5" t="s">
        <v>95</v>
      </c>
      <c r="B38" s="7" t="s">
        <v>101</v>
      </c>
      <c r="C38" s="5">
        <v>100220</v>
      </c>
      <c r="D38" s="5" t="s">
        <v>97</v>
      </c>
      <c r="E38" s="5" t="s">
        <v>55</v>
      </c>
    </row>
    <row r="39" spans="1:5">
      <c r="A39" s="5" t="s">
        <v>95</v>
      </c>
      <c r="B39" s="7" t="s">
        <v>102</v>
      </c>
      <c r="C39" s="5">
        <v>100224</v>
      </c>
      <c r="D39" s="5" t="s">
        <v>97</v>
      </c>
      <c r="E39" s="5" t="s">
        <v>55</v>
      </c>
    </row>
    <row r="40" spans="1:5">
      <c r="A40" s="5" t="s">
        <v>95</v>
      </c>
      <c r="B40" s="7" t="s">
        <v>103</v>
      </c>
      <c r="C40" s="5">
        <v>100225</v>
      </c>
      <c r="D40" s="5" t="s">
        <v>97</v>
      </c>
      <c r="E40" s="5" t="s">
        <v>55</v>
      </c>
    </row>
    <row r="41" spans="1:5">
      <c r="A41" s="5" t="s">
        <v>95</v>
      </c>
      <c r="B41" s="7" t="s">
        <v>104</v>
      </c>
      <c r="C41" s="5">
        <v>100226</v>
      </c>
      <c r="D41" s="5" t="s">
        <v>97</v>
      </c>
      <c r="E41" s="5" t="s">
        <v>55</v>
      </c>
    </row>
    <row r="42" spans="1:5">
      <c r="A42" s="5" t="s">
        <v>95</v>
      </c>
      <c r="B42" s="7" t="s">
        <v>105</v>
      </c>
      <c r="C42" s="5">
        <v>100238</v>
      </c>
      <c r="D42" s="5" t="s">
        <v>106</v>
      </c>
      <c r="E42" s="5" t="s">
        <v>55</v>
      </c>
    </row>
    <row r="43" spans="1:5">
      <c r="A43" s="5" t="s">
        <v>95</v>
      </c>
      <c r="B43" s="7" t="s">
        <v>105</v>
      </c>
      <c r="C43" s="5">
        <v>100239</v>
      </c>
      <c r="D43" s="5" t="s">
        <v>107</v>
      </c>
      <c r="E43" s="5" t="s">
        <v>55</v>
      </c>
    </row>
    <row r="44" spans="1:5">
      <c r="A44" s="5" t="s">
        <v>95</v>
      </c>
      <c r="B44" s="7" t="s">
        <v>108</v>
      </c>
      <c r="C44" s="5">
        <v>100241</v>
      </c>
      <c r="D44" s="5" t="s">
        <v>109</v>
      </c>
      <c r="E44" s="5" t="s">
        <v>55</v>
      </c>
    </row>
    <row r="45" spans="1:5">
      <c r="A45" s="6" t="s">
        <v>95</v>
      </c>
      <c r="B45" s="7" t="s">
        <v>110</v>
      </c>
      <c r="C45" s="6">
        <v>100242</v>
      </c>
      <c r="D45" s="6" t="s">
        <v>111</v>
      </c>
      <c r="E45" s="5" t="s">
        <v>55</v>
      </c>
    </row>
    <row r="46" spans="1:5">
      <c r="A46" s="6" t="s">
        <v>95</v>
      </c>
      <c r="B46" s="7" t="s">
        <v>110</v>
      </c>
      <c r="C46" s="6">
        <v>100243</v>
      </c>
      <c r="D46" s="6" t="s">
        <v>73</v>
      </c>
      <c r="E46" s="5" t="s">
        <v>55</v>
      </c>
    </row>
    <row r="47" spans="1:5">
      <c r="A47" s="10" t="s">
        <v>95</v>
      </c>
      <c r="B47" s="9" t="s">
        <v>112</v>
      </c>
      <c r="C47" s="10">
        <v>100254</v>
      </c>
      <c r="D47" s="10" t="s">
        <v>113</v>
      </c>
      <c r="E47" s="5" t="s">
        <v>55</v>
      </c>
    </row>
    <row r="48" spans="1:5">
      <c r="A48" s="10" t="s">
        <v>95</v>
      </c>
      <c r="B48" s="9" t="s">
        <v>114</v>
      </c>
      <c r="C48" s="10">
        <v>100256</v>
      </c>
      <c r="D48" s="10" t="s">
        <v>115</v>
      </c>
      <c r="E48" s="5" t="s">
        <v>55</v>
      </c>
    </row>
    <row r="49" spans="1:5">
      <c r="A49" s="10" t="s">
        <v>95</v>
      </c>
      <c r="B49" s="9" t="s">
        <v>116</v>
      </c>
      <c r="C49" s="10">
        <v>100258</v>
      </c>
      <c r="D49" s="10" t="s">
        <v>73</v>
      </c>
      <c r="E49" s="5" t="s">
        <v>61</v>
      </c>
    </row>
    <row r="50" spans="1:5">
      <c r="A50" s="5" t="s">
        <v>95</v>
      </c>
      <c r="B50" s="4" t="s">
        <v>117</v>
      </c>
      <c r="C50" s="5">
        <v>100261</v>
      </c>
      <c r="D50" s="5" t="s">
        <v>115</v>
      </c>
      <c r="E50" s="5" t="s">
        <v>55</v>
      </c>
    </row>
    <row r="51" spans="1:5">
      <c r="A51" s="5" t="s">
        <v>95</v>
      </c>
      <c r="B51" s="4" t="s">
        <v>118</v>
      </c>
      <c r="C51" s="5">
        <v>100293</v>
      </c>
      <c r="D51" s="5" t="s">
        <v>119</v>
      </c>
      <c r="E51" s="5" t="s">
        <v>55</v>
      </c>
    </row>
    <row r="52" spans="1:5">
      <c r="A52" s="5" t="s">
        <v>95</v>
      </c>
      <c r="B52" s="7" t="s">
        <v>120</v>
      </c>
      <c r="C52" s="5">
        <v>100299</v>
      </c>
      <c r="D52" s="5" t="s">
        <v>121</v>
      </c>
      <c r="E52" s="5" t="s">
        <v>61</v>
      </c>
    </row>
    <row r="53" spans="1:5">
      <c r="A53" s="5" t="s">
        <v>95</v>
      </c>
      <c r="B53" s="7" t="s">
        <v>122</v>
      </c>
      <c r="C53" s="5">
        <v>110161</v>
      </c>
      <c r="D53" s="5" t="s">
        <v>123</v>
      </c>
      <c r="E53" s="5" t="s">
        <v>61</v>
      </c>
    </row>
    <row r="54" spans="1:5">
      <c r="A54" s="5" t="s">
        <v>95</v>
      </c>
      <c r="B54" s="4" t="s">
        <v>124</v>
      </c>
      <c r="C54" s="5">
        <v>110361</v>
      </c>
      <c r="D54" s="5" t="s">
        <v>115</v>
      </c>
      <c r="E54" s="5" t="s">
        <v>55</v>
      </c>
    </row>
    <row r="55" spans="1:5">
      <c r="A55" s="5" t="s">
        <v>95</v>
      </c>
      <c r="B55" s="4" t="s">
        <v>125</v>
      </c>
      <c r="C55" s="5">
        <v>110541</v>
      </c>
      <c r="D55" s="5" t="s">
        <v>97</v>
      </c>
      <c r="E55" s="5" t="s">
        <v>55</v>
      </c>
    </row>
    <row r="56" spans="1:5">
      <c r="A56" s="6" t="s">
        <v>95</v>
      </c>
      <c r="B56" s="7" t="s">
        <v>126</v>
      </c>
      <c r="C56" s="6">
        <v>110623</v>
      </c>
      <c r="D56" s="6" t="s">
        <v>127</v>
      </c>
      <c r="E56" s="5" t="s">
        <v>55</v>
      </c>
    </row>
    <row r="57" spans="1:5">
      <c r="A57" s="6" t="s">
        <v>95</v>
      </c>
      <c r="B57" s="7" t="s">
        <v>126</v>
      </c>
      <c r="C57" s="6">
        <v>110624</v>
      </c>
      <c r="D57" s="6" t="s">
        <v>73</v>
      </c>
      <c r="E57" s="5" t="s">
        <v>55</v>
      </c>
    </row>
    <row r="58" spans="1:5">
      <c r="A58" s="5" t="s">
        <v>95</v>
      </c>
      <c r="B58" s="7" t="s">
        <v>128</v>
      </c>
      <c r="C58" s="5">
        <v>110723</v>
      </c>
      <c r="D58" s="5" t="s">
        <v>129</v>
      </c>
      <c r="E58" s="5" t="s">
        <v>55</v>
      </c>
    </row>
    <row r="59" spans="1:5">
      <c r="A59" s="5" t="s">
        <v>95</v>
      </c>
      <c r="B59" s="4" t="s">
        <v>130</v>
      </c>
      <c r="C59" s="5">
        <v>110846</v>
      </c>
      <c r="D59" s="5" t="s">
        <v>65</v>
      </c>
      <c r="E59" s="5" t="s">
        <v>55</v>
      </c>
    </row>
    <row r="60" spans="1:5">
      <c r="A60" s="5" t="s">
        <v>95</v>
      </c>
      <c r="B60" s="7" t="s">
        <v>131</v>
      </c>
      <c r="C60" s="5">
        <v>110859</v>
      </c>
      <c r="D60" s="5" t="s">
        <v>132</v>
      </c>
      <c r="E60" s="5" t="s">
        <v>55</v>
      </c>
    </row>
    <row r="61" spans="1:5">
      <c r="A61" s="10" t="s">
        <v>95</v>
      </c>
      <c r="B61" s="9" t="s">
        <v>133</v>
      </c>
      <c r="C61" s="10">
        <v>110860</v>
      </c>
      <c r="D61" s="10" t="s">
        <v>65</v>
      </c>
      <c r="E61" s="5" t="s">
        <v>55</v>
      </c>
    </row>
    <row r="62" spans="1:5">
      <c r="A62" s="5" t="s">
        <v>95</v>
      </c>
      <c r="B62" s="7" t="s">
        <v>134</v>
      </c>
      <c r="C62" s="5">
        <v>110872</v>
      </c>
      <c r="D62" s="5" t="s">
        <v>127</v>
      </c>
      <c r="E62" s="6" t="s">
        <v>55</v>
      </c>
    </row>
    <row r="63" spans="1:5">
      <c r="A63" s="5" t="s">
        <v>95</v>
      </c>
      <c r="B63" s="7" t="s">
        <v>135</v>
      </c>
      <c r="C63" s="5">
        <v>111643</v>
      </c>
      <c r="D63" s="5" t="s">
        <v>136</v>
      </c>
      <c r="E63" s="6" t="s">
        <v>61</v>
      </c>
    </row>
    <row r="64" spans="1:5">
      <c r="A64" s="5" t="s">
        <v>137</v>
      </c>
      <c r="B64" s="4" t="s">
        <v>138</v>
      </c>
      <c r="C64" s="5">
        <v>100400</v>
      </c>
      <c r="D64" s="5" t="s">
        <v>139</v>
      </c>
      <c r="E64" s="5" t="s">
        <v>55</v>
      </c>
    </row>
    <row r="65" spans="1:5">
      <c r="A65" s="5" t="s">
        <v>137</v>
      </c>
      <c r="B65" s="4" t="s">
        <v>140</v>
      </c>
      <c r="C65" s="5">
        <v>100425</v>
      </c>
      <c r="D65" s="6" t="s">
        <v>107</v>
      </c>
      <c r="E65" s="5" t="s">
        <v>55</v>
      </c>
    </row>
    <row r="66" spans="1:5">
      <c r="A66" s="5" t="s">
        <v>137</v>
      </c>
      <c r="B66" s="4" t="s">
        <v>141</v>
      </c>
      <c r="C66" s="5">
        <v>100465</v>
      </c>
      <c r="D66" s="5" t="s">
        <v>142</v>
      </c>
      <c r="E66" s="5" t="s">
        <v>55</v>
      </c>
    </row>
    <row r="67" spans="1:5">
      <c r="A67" s="5" t="s">
        <v>137</v>
      </c>
      <c r="B67" s="4" t="s">
        <v>143</v>
      </c>
      <c r="C67" s="5">
        <v>100494</v>
      </c>
      <c r="D67" s="6" t="s">
        <v>144</v>
      </c>
      <c r="E67" s="5" t="s">
        <v>55</v>
      </c>
    </row>
    <row r="68" spans="1:5">
      <c r="A68" s="5" t="s">
        <v>137</v>
      </c>
      <c r="B68" s="4" t="s">
        <v>145</v>
      </c>
      <c r="C68" s="5">
        <v>100500</v>
      </c>
      <c r="D68" s="6" t="s">
        <v>146</v>
      </c>
      <c r="E68" s="5" t="s">
        <v>61</v>
      </c>
    </row>
    <row r="69" spans="1:5">
      <c r="A69" s="5" t="s">
        <v>137</v>
      </c>
      <c r="B69" s="4" t="s">
        <v>145</v>
      </c>
      <c r="C69" s="5">
        <v>101031</v>
      </c>
      <c r="D69" s="6" t="s">
        <v>144</v>
      </c>
      <c r="E69" s="5" t="s">
        <v>61</v>
      </c>
    </row>
    <row r="70" spans="1:5">
      <c r="A70" s="5" t="s">
        <v>137</v>
      </c>
      <c r="B70" s="4" t="s">
        <v>147</v>
      </c>
      <c r="C70" s="5">
        <v>110208</v>
      </c>
      <c r="D70" s="5" t="s">
        <v>144</v>
      </c>
      <c r="E70" s="5" t="s">
        <v>55</v>
      </c>
    </row>
    <row r="71" spans="1:5">
      <c r="A71" s="5" t="s">
        <v>137</v>
      </c>
      <c r="B71" s="4" t="s">
        <v>147</v>
      </c>
      <c r="C71" s="5">
        <v>110211</v>
      </c>
      <c r="D71" s="5" t="s">
        <v>139</v>
      </c>
      <c r="E71" s="5" t="s">
        <v>55</v>
      </c>
    </row>
    <row r="72" spans="1:5">
      <c r="A72" s="5" t="s">
        <v>137</v>
      </c>
      <c r="B72" s="4" t="s">
        <v>148</v>
      </c>
      <c r="C72" s="5">
        <v>110393</v>
      </c>
      <c r="D72" s="6" t="s">
        <v>149</v>
      </c>
      <c r="E72" s="5" t="s">
        <v>55</v>
      </c>
    </row>
    <row r="73" spans="1:5">
      <c r="A73" s="5" t="s">
        <v>137</v>
      </c>
      <c r="B73" s="4" t="s">
        <v>150</v>
      </c>
      <c r="C73" s="5">
        <v>110394</v>
      </c>
      <c r="D73" s="11" t="s">
        <v>151</v>
      </c>
      <c r="E73" s="5" t="s">
        <v>55</v>
      </c>
    </row>
    <row r="74" spans="1:5">
      <c r="A74" s="5" t="s">
        <v>137</v>
      </c>
      <c r="B74" s="4" t="s">
        <v>152</v>
      </c>
      <c r="C74" s="5">
        <v>110501</v>
      </c>
      <c r="D74" s="6" t="s">
        <v>153</v>
      </c>
      <c r="E74" s="5" t="s">
        <v>55</v>
      </c>
    </row>
    <row r="75" spans="1:5">
      <c r="A75" s="5" t="s">
        <v>137</v>
      </c>
      <c r="B75" s="4" t="s">
        <v>154</v>
      </c>
      <c r="C75" s="5">
        <v>110504</v>
      </c>
      <c r="D75" s="5" t="s">
        <v>153</v>
      </c>
      <c r="E75" s="5" t="s">
        <v>55</v>
      </c>
    </row>
    <row r="76" spans="1:5">
      <c r="A76" s="5" t="s">
        <v>137</v>
      </c>
      <c r="B76" s="4" t="s">
        <v>155</v>
      </c>
      <c r="C76" s="5">
        <v>110506</v>
      </c>
      <c r="D76" s="6" t="s">
        <v>153</v>
      </c>
      <c r="E76" s="5" t="s">
        <v>55</v>
      </c>
    </row>
    <row r="77" spans="1:5">
      <c r="A77" s="5" t="s">
        <v>137</v>
      </c>
      <c r="B77" s="4" t="s">
        <v>156</v>
      </c>
      <c r="C77" s="5">
        <v>110520</v>
      </c>
      <c r="D77" s="6" t="s">
        <v>153</v>
      </c>
      <c r="E77" s="5" t="s">
        <v>55</v>
      </c>
    </row>
    <row r="78" spans="1:5">
      <c r="A78" s="6" t="s">
        <v>137</v>
      </c>
      <c r="B78" s="4" t="s">
        <v>157</v>
      </c>
      <c r="C78" s="5">
        <v>110857</v>
      </c>
      <c r="D78" s="6" t="s">
        <v>139</v>
      </c>
      <c r="E78" s="5" t="s">
        <v>55</v>
      </c>
    </row>
    <row r="79" spans="1:5">
      <c r="A79" s="5" t="s">
        <v>158</v>
      </c>
      <c r="B79" s="7" t="s">
        <v>159</v>
      </c>
      <c r="C79" s="5">
        <v>100359</v>
      </c>
      <c r="D79" s="5" t="s">
        <v>97</v>
      </c>
      <c r="E79" s="5" t="s">
        <v>55</v>
      </c>
    </row>
    <row r="80" spans="1:5" ht="15.6" customHeight="1">
      <c r="A80" s="5" t="s">
        <v>158</v>
      </c>
      <c r="B80" s="7" t="s">
        <v>160</v>
      </c>
      <c r="C80" s="5">
        <v>100360</v>
      </c>
      <c r="D80" s="5" t="s">
        <v>97</v>
      </c>
      <c r="E80" s="5" t="s">
        <v>55</v>
      </c>
    </row>
    <row r="81" spans="1:5">
      <c r="A81" s="5" t="s">
        <v>158</v>
      </c>
      <c r="B81" s="4" t="s">
        <v>161</v>
      </c>
      <c r="C81" s="5">
        <v>100362</v>
      </c>
      <c r="D81" s="5" t="s">
        <v>97</v>
      </c>
      <c r="E81" s="5" t="s">
        <v>55</v>
      </c>
    </row>
    <row r="82" spans="1:5">
      <c r="A82" s="5" t="s">
        <v>158</v>
      </c>
      <c r="B82" s="4" t="s">
        <v>162</v>
      </c>
      <c r="C82" s="5">
        <v>100364</v>
      </c>
      <c r="D82" s="5" t="s">
        <v>97</v>
      </c>
      <c r="E82" s="5" t="s">
        <v>55</v>
      </c>
    </row>
    <row r="83" spans="1:5">
      <c r="A83" s="5" t="s">
        <v>158</v>
      </c>
      <c r="B83" s="4" t="s">
        <v>163</v>
      </c>
      <c r="C83" s="5">
        <v>100365</v>
      </c>
      <c r="D83" s="5" t="s">
        <v>97</v>
      </c>
      <c r="E83" s="5" t="s">
        <v>55</v>
      </c>
    </row>
    <row r="84" spans="1:5">
      <c r="A84" s="5" t="s">
        <v>158</v>
      </c>
      <c r="B84" s="4" t="s">
        <v>164</v>
      </c>
      <c r="C84" s="5">
        <v>100366</v>
      </c>
      <c r="D84" s="5" t="s">
        <v>97</v>
      </c>
      <c r="E84" s="5" t="s">
        <v>55</v>
      </c>
    </row>
    <row r="85" spans="1:5">
      <c r="A85" s="5" t="s">
        <v>158</v>
      </c>
      <c r="B85" s="7" t="s">
        <v>165</v>
      </c>
      <c r="C85" s="5">
        <v>100368</v>
      </c>
      <c r="D85" s="5" t="s">
        <v>97</v>
      </c>
      <c r="E85" s="5" t="s">
        <v>55</v>
      </c>
    </row>
    <row r="86" spans="1:5">
      <c r="A86" s="5" t="s">
        <v>158</v>
      </c>
      <c r="B86" s="7" t="s">
        <v>166</v>
      </c>
      <c r="C86" s="5">
        <v>100369</v>
      </c>
      <c r="D86" s="5" t="s">
        <v>97</v>
      </c>
      <c r="E86" s="5" t="s">
        <v>55</v>
      </c>
    </row>
    <row r="87" spans="1:5">
      <c r="A87" s="5" t="s">
        <v>158</v>
      </c>
      <c r="B87" s="7" t="s">
        <v>167</v>
      </c>
      <c r="C87" s="5">
        <v>100370</v>
      </c>
      <c r="D87" s="5" t="s">
        <v>97</v>
      </c>
      <c r="E87" s="5" t="s">
        <v>55</v>
      </c>
    </row>
    <row r="88" spans="1:5">
      <c r="A88" s="5" t="s">
        <v>158</v>
      </c>
      <c r="B88" s="4" t="s">
        <v>168</v>
      </c>
      <c r="C88" s="5">
        <v>100371</v>
      </c>
      <c r="D88" s="5" t="s">
        <v>97</v>
      </c>
      <c r="E88" s="5" t="s">
        <v>55</v>
      </c>
    </row>
    <row r="89" spans="1:5">
      <c r="A89" s="5" t="s">
        <v>158</v>
      </c>
      <c r="B89" s="7" t="s">
        <v>169</v>
      </c>
      <c r="C89" s="5">
        <v>100373</v>
      </c>
      <c r="D89" s="5" t="s">
        <v>97</v>
      </c>
      <c r="E89" s="5" t="s">
        <v>55</v>
      </c>
    </row>
    <row r="90" spans="1:5">
      <c r="A90" s="5" t="s">
        <v>158</v>
      </c>
      <c r="B90" s="4" t="s">
        <v>170</v>
      </c>
      <c r="C90" s="5">
        <v>100382</v>
      </c>
      <c r="D90" s="6" t="s">
        <v>106</v>
      </c>
      <c r="E90" s="5" t="s">
        <v>55</v>
      </c>
    </row>
    <row r="91" spans="1:5">
      <c r="A91" s="5" t="s">
        <v>158</v>
      </c>
      <c r="B91" s="4" t="s">
        <v>2084</v>
      </c>
      <c r="C91" s="5">
        <v>111860</v>
      </c>
      <c r="D91" s="6" t="s">
        <v>73</v>
      </c>
      <c r="E91" s="5" t="s">
        <v>61</v>
      </c>
    </row>
    <row r="92" spans="1:5">
      <c r="A92" s="5" t="s">
        <v>171</v>
      </c>
      <c r="B92" s="4" t="s">
        <v>172</v>
      </c>
      <c r="C92" s="5">
        <v>100396</v>
      </c>
      <c r="D92" s="5" t="s">
        <v>173</v>
      </c>
      <c r="E92" s="5" t="s">
        <v>55</v>
      </c>
    </row>
    <row r="93" spans="1:5">
      <c r="A93" s="5" t="s">
        <v>171</v>
      </c>
      <c r="B93" s="4" t="s">
        <v>174</v>
      </c>
      <c r="C93" s="5">
        <v>100935</v>
      </c>
      <c r="D93" s="5" t="s">
        <v>173</v>
      </c>
      <c r="E93" s="5" t="s">
        <v>61</v>
      </c>
    </row>
    <row r="94" spans="1:5">
      <c r="A94" s="5" t="s">
        <v>171</v>
      </c>
      <c r="B94" s="4" t="s">
        <v>175</v>
      </c>
      <c r="C94" s="5">
        <v>110854</v>
      </c>
      <c r="D94" s="5" t="s">
        <v>176</v>
      </c>
      <c r="E94" s="5" t="s">
        <v>55</v>
      </c>
    </row>
    <row r="95" spans="1:5">
      <c r="A95" s="5" t="s">
        <v>177</v>
      </c>
      <c r="B95" s="4" t="s">
        <v>178</v>
      </c>
      <c r="C95" s="5">
        <v>100439</v>
      </c>
      <c r="D95" s="5" t="s">
        <v>179</v>
      </c>
      <c r="E95" s="5" t="s">
        <v>61</v>
      </c>
    </row>
    <row r="96" spans="1:5">
      <c r="A96" s="5" t="s">
        <v>180</v>
      </c>
      <c r="B96" s="4" t="s">
        <v>2092</v>
      </c>
      <c r="C96" s="5">
        <v>100139</v>
      </c>
      <c r="D96" s="5" t="s">
        <v>181</v>
      </c>
      <c r="E96" s="5" t="s">
        <v>55</v>
      </c>
    </row>
    <row r="97" spans="1:5">
      <c r="A97" s="5" t="s">
        <v>180</v>
      </c>
      <c r="B97" s="4" t="s">
        <v>2137</v>
      </c>
      <c r="C97" s="5">
        <v>100173</v>
      </c>
      <c r="D97" s="6" t="s">
        <v>182</v>
      </c>
      <c r="E97" s="5" t="s">
        <v>61</v>
      </c>
    </row>
    <row r="98" spans="1:5">
      <c r="A98" s="5" t="s">
        <v>180</v>
      </c>
      <c r="B98" s="4" t="s">
        <v>183</v>
      </c>
      <c r="C98" s="5">
        <v>100184</v>
      </c>
      <c r="D98" s="6" t="s">
        <v>184</v>
      </c>
      <c r="E98" s="5" t="s">
        <v>55</v>
      </c>
    </row>
    <row r="99" spans="1:5">
      <c r="A99" s="5" t="s">
        <v>180</v>
      </c>
      <c r="B99" s="4" t="s">
        <v>185</v>
      </c>
      <c r="C99" s="5">
        <v>100187</v>
      </c>
      <c r="D99" s="5" t="s">
        <v>186</v>
      </c>
      <c r="E99" s="5" t="s">
        <v>55</v>
      </c>
    </row>
    <row r="100" spans="1:5">
      <c r="A100" s="5" t="s">
        <v>180</v>
      </c>
      <c r="B100" s="4" t="s">
        <v>187</v>
      </c>
      <c r="C100" s="5">
        <v>100188</v>
      </c>
      <c r="D100" s="5" t="s">
        <v>93</v>
      </c>
      <c r="E100" s="5" t="s">
        <v>61</v>
      </c>
    </row>
    <row r="101" spans="1:5">
      <c r="A101" s="5" t="s">
        <v>180</v>
      </c>
      <c r="B101" s="4" t="s">
        <v>188</v>
      </c>
      <c r="C101" s="5">
        <v>110730</v>
      </c>
      <c r="D101" s="6" t="s">
        <v>93</v>
      </c>
      <c r="E101" s="5" t="s">
        <v>55</v>
      </c>
    </row>
    <row r="102" spans="1:5">
      <c r="A102" s="5" t="s">
        <v>189</v>
      </c>
      <c r="B102" s="4" t="s">
        <v>190</v>
      </c>
      <c r="C102" s="5">
        <v>100101</v>
      </c>
      <c r="D102" s="6" t="s">
        <v>93</v>
      </c>
      <c r="E102" s="5" t="s">
        <v>55</v>
      </c>
    </row>
    <row r="103" spans="1:5">
      <c r="A103" s="5" t="s">
        <v>189</v>
      </c>
      <c r="B103" s="4" t="s">
        <v>191</v>
      </c>
      <c r="C103" s="5">
        <v>100117</v>
      </c>
      <c r="D103" s="6" t="s">
        <v>192</v>
      </c>
      <c r="E103" s="5" t="s">
        <v>55</v>
      </c>
    </row>
    <row r="104" spans="1:5">
      <c r="A104" s="5" t="s">
        <v>189</v>
      </c>
      <c r="B104" s="4" t="s">
        <v>2102</v>
      </c>
      <c r="C104" s="5">
        <v>111881</v>
      </c>
      <c r="D104" s="6" t="s">
        <v>192</v>
      </c>
      <c r="E104" s="5" t="s">
        <v>61</v>
      </c>
    </row>
    <row r="105" spans="1:5">
      <c r="A105" s="5" t="s">
        <v>189</v>
      </c>
      <c r="B105" s="4" t="s">
        <v>193</v>
      </c>
      <c r="C105" s="5">
        <v>100119</v>
      </c>
      <c r="D105" s="5" t="s">
        <v>194</v>
      </c>
      <c r="E105" s="5" t="s">
        <v>55</v>
      </c>
    </row>
    <row r="106" spans="1:5">
      <c r="A106" s="5" t="s">
        <v>189</v>
      </c>
      <c r="B106" s="4" t="s">
        <v>195</v>
      </c>
      <c r="C106" s="5">
        <v>100121</v>
      </c>
      <c r="D106" s="5" t="s">
        <v>196</v>
      </c>
      <c r="E106" s="5" t="s">
        <v>55</v>
      </c>
    </row>
    <row r="107" spans="1:5">
      <c r="A107" s="5" t="s">
        <v>189</v>
      </c>
      <c r="B107" s="4" t="s">
        <v>197</v>
      </c>
      <c r="C107" s="5">
        <v>100122</v>
      </c>
      <c r="D107" s="5" t="s">
        <v>196</v>
      </c>
      <c r="E107" s="5" t="s">
        <v>55</v>
      </c>
    </row>
    <row r="108" spans="1:5">
      <c r="A108" s="5" t="s">
        <v>189</v>
      </c>
      <c r="B108" s="4" t="s">
        <v>2104</v>
      </c>
      <c r="C108" s="5">
        <v>100125</v>
      </c>
      <c r="D108" s="6" t="s">
        <v>198</v>
      </c>
      <c r="E108" s="5" t="s">
        <v>55</v>
      </c>
    </row>
    <row r="109" spans="1:5">
      <c r="A109" s="5" t="s">
        <v>189</v>
      </c>
      <c r="B109" s="4" t="s">
        <v>199</v>
      </c>
      <c r="C109" s="5">
        <v>100126</v>
      </c>
      <c r="D109" s="6" t="s">
        <v>196</v>
      </c>
      <c r="E109" s="5" t="s">
        <v>55</v>
      </c>
    </row>
    <row r="110" spans="1:5">
      <c r="A110" s="5" t="s">
        <v>189</v>
      </c>
      <c r="B110" s="4" t="s">
        <v>2100</v>
      </c>
      <c r="C110" s="5">
        <v>100877</v>
      </c>
      <c r="D110" s="5" t="s">
        <v>200</v>
      </c>
      <c r="E110" s="5" t="s">
        <v>61</v>
      </c>
    </row>
    <row r="111" spans="1:5">
      <c r="A111" s="6" t="s">
        <v>189</v>
      </c>
      <c r="B111" s="7" t="s">
        <v>201</v>
      </c>
      <c r="C111" s="6">
        <v>110052</v>
      </c>
      <c r="D111" s="6" t="s">
        <v>58</v>
      </c>
      <c r="E111" s="5" t="s">
        <v>61</v>
      </c>
    </row>
    <row r="112" spans="1:5">
      <c r="A112" s="5" t="s">
        <v>189</v>
      </c>
      <c r="B112" s="4" t="s">
        <v>202</v>
      </c>
      <c r="C112" s="5">
        <v>110080</v>
      </c>
      <c r="D112" s="6" t="s">
        <v>203</v>
      </c>
      <c r="E112" s="5" t="s">
        <v>55</v>
      </c>
    </row>
    <row r="113" spans="1:5">
      <c r="A113" s="5" t="s">
        <v>189</v>
      </c>
      <c r="B113" s="7" t="s">
        <v>204</v>
      </c>
      <c r="C113" s="6">
        <v>110462</v>
      </c>
      <c r="D113" s="5" t="s">
        <v>192</v>
      </c>
      <c r="E113" s="5" t="s">
        <v>55</v>
      </c>
    </row>
    <row r="114" spans="1:5">
      <c r="A114" s="5" t="s">
        <v>189</v>
      </c>
      <c r="B114" s="4" t="s">
        <v>205</v>
      </c>
      <c r="C114" s="5">
        <v>111900</v>
      </c>
      <c r="D114" s="5" t="s">
        <v>186</v>
      </c>
      <c r="E114" s="5" t="s">
        <v>55</v>
      </c>
    </row>
    <row r="115" spans="1:5">
      <c r="A115" s="5" t="s">
        <v>189</v>
      </c>
      <c r="B115" s="4" t="s">
        <v>206</v>
      </c>
      <c r="C115" s="5">
        <v>111882</v>
      </c>
      <c r="D115" s="5" t="s">
        <v>186</v>
      </c>
      <c r="E115" s="6" t="s">
        <v>55</v>
      </c>
    </row>
    <row r="116" spans="1:5">
      <c r="A116" s="5" t="s">
        <v>189</v>
      </c>
      <c r="B116" s="4" t="s">
        <v>207</v>
      </c>
      <c r="C116" s="5">
        <v>111893</v>
      </c>
      <c r="D116" s="6" t="s">
        <v>186</v>
      </c>
      <c r="E116" s="6" t="s">
        <v>55</v>
      </c>
    </row>
    <row r="117" spans="1:5">
      <c r="A117" s="5" t="s">
        <v>189</v>
      </c>
      <c r="B117" s="4" t="s">
        <v>208</v>
      </c>
      <c r="C117" s="5">
        <v>110921</v>
      </c>
      <c r="D117" s="6" t="s">
        <v>192</v>
      </c>
      <c r="E117" s="6" t="s">
        <v>55</v>
      </c>
    </row>
    <row r="118" spans="1:5">
      <c r="A118" s="5" t="s">
        <v>189</v>
      </c>
      <c r="B118" s="4" t="s">
        <v>2098</v>
      </c>
      <c r="C118" s="5">
        <v>111361</v>
      </c>
      <c r="D118" s="6" t="s">
        <v>57</v>
      </c>
      <c r="E118" s="6" t="s">
        <v>55</v>
      </c>
    </row>
    <row r="119" spans="1:5">
      <c r="A119" s="5" t="s">
        <v>209</v>
      </c>
      <c r="B119" s="7" t="s">
        <v>210</v>
      </c>
      <c r="C119" s="5">
        <v>100307</v>
      </c>
      <c r="D119" s="5" t="s">
        <v>97</v>
      </c>
      <c r="E119" s="5" t="s">
        <v>55</v>
      </c>
    </row>
    <row r="120" spans="1:5">
      <c r="A120" s="5" t="s">
        <v>209</v>
      </c>
      <c r="B120" s="4" t="s">
        <v>211</v>
      </c>
      <c r="C120" s="5">
        <v>100309</v>
      </c>
      <c r="D120" s="5" t="s">
        <v>97</v>
      </c>
      <c r="E120" s="5" t="s">
        <v>55</v>
      </c>
    </row>
    <row r="121" spans="1:5">
      <c r="A121" s="5" t="s">
        <v>209</v>
      </c>
      <c r="B121" s="4" t="s">
        <v>212</v>
      </c>
      <c r="C121" s="5">
        <v>100313</v>
      </c>
      <c r="D121" s="5" t="s">
        <v>97</v>
      </c>
      <c r="E121" s="5" t="s">
        <v>55</v>
      </c>
    </row>
    <row r="122" spans="1:5">
      <c r="A122" s="5" t="s">
        <v>209</v>
      </c>
      <c r="B122" s="4" t="s">
        <v>213</v>
      </c>
      <c r="C122" s="5">
        <v>100315</v>
      </c>
      <c r="D122" s="5" t="s">
        <v>97</v>
      </c>
      <c r="E122" s="5" t="s">
        <v>55</v>
      </c>
    </row>
    <row r="123" spans="1:5">
      <c r="A123" s="5" t="s">
        <v>209</v>
      </c>
      <c r="B123" s="4" t="s">
        <v>214</v>
      </c>
      <c r="C123" s="5">
        <v>100317</v>
      </c>
      <c r="D123" s="5" t="s">
        <v>97</v>
      </c>
      <c r="E123" s="5" t="s">
        <v>55</v>
      </c>
    </row>
    <row r="124" spans="1:5">
      <c r="A124" s="5" t="s">
        <v>209</v>
      </c>
      <c r="B124" s="4" t="s">
        <v>215</v>
      </c>
      <c r="C124" s="5">
        <v>100327</v>
      </c>
      <c r="D124" s="5" t="s">
        <v>97</v>
      </c>
      <c r="E124" s="5" t="s">
        <v>55</v>
      </c>
    </row>
    <row r="125" spans="1:5">
      <c r="A125" s="5" t="s">
        <v>209</v>
      </c>
      <c r="B125" s="4" t="s">
        <v>216</v>
      </c>
      <c r="C125" s="5">
        <v>100329</v>
      </c>
      <c r="D125" s="5" t="s">
        <v>97</v>
      </c>
      <c r="E125" s="5" t="s">
        <v>55</v>
      </c>
    </row>
    <row r="126" spans="1:5">
      <c r="A126" s="5" t="s">
        <v>209</v>
      </c>
      <c r="B126" s="4" t="s">
        <v>217</v>
      </c>
      <c r="C126" s="5">
        <v>100330</v>
      </c>
      <c r="D126" s="5" t="s">
        <v>97</v>
      </c>
      <c r="E126" s="5" t="s">
        <v>55</v>
      </c>
    </row>
    <row r="127" spans="1:5">
      <c r="A127" s="5" t="s">
        <v>209</v>
      </c>
      <c r="B127" s="4" t="s">
        <v>218</v>
      </c>
      <c r="C127" s="5">
        <v>100334</v>
      </c>
      <c r="D127" s="5" t="s">
        <v>97</v>
      </c>
      <c r="E127" s="5" t="s">
        <v>55</v>
      </c>
    </row>
    <row r="128" spans="1:5">
      <c r="A128" s="5" t="s">
        <v>209</v>
      </c>
      <c r="B128" s="4" t="s">
        <v>219</v>
      </c>
      <c r="C128" s="5">
        <v>100336</v>
      </c>
      <c r="D128" s="5" t="s">
        <v>97</v>
      </c>
      <c r="E128" s="5" t="s">
        <v>55</v>
      </c>
    </row>
    <row r="129" spans="1:5">
      <c r="A129" s="5" t="s">
        <v>209</v>
      </c>
      <c r="B129" s="4" t="s">
        <v>220</v>
      </c>
      <c r="C129" s="5">
        <v>100348</v>
      </c>
      <c r="D129" s="5" t="s">
        <v>73</v>
      </c>
      <c r="E129" s="5" t="s">
        <v>55</v>
      </c>
    </row>
    <row r="130" spans="1:5">
      <c r="A130" s="5" t="s">
        <v>209</v>
      </c>
      <c r="B130" s="4" t="s">
        <v>221</v>
      </c>
      <c r="C130" s="5">
        <v>100350</v>
      </c>
      <c r="D130" s="5" t="s">
        <v>73</v>
      </c>
      <c r="E130" s="5" t="s">
        <v>55</v>
      </c>
    </row>
    <row r="131" spans="1:5">
      <c r="A131" s="5" t="s">
        <v>209</v>
      </c>
      <c r="B131" s="4" t="s">
        <v>222</v>
      </c>
      <c r="C131" s="5">
        <v>100351</v>
      </c>
      <c r="D131" s="5" t="s">
        <v>73</v>
      </c>
      <c r="E131" s="5" t="s">
        <v>55</v>
      </c>
    </row>
    <row r="132" spans="1:5">
      <c r="A132" s="5" t="s">
        <v>209</v>
      </c>
      <c r="B132" s="4" t="s">
        <v>223</v>
      </c>
      <c r="C132" s="5">
        <v>100352</v>
      </c>
      <c r="D132" s="5" t="s">
        <v>73</v>
      </c>
      <c r="E132" s="5" t="s">
        <v>55</v>
      </c>
    </row>
    <row r="133" spans="1:5">
      <c r="A133" s="5" t="s">
        <v>209</v>
      </c>
      <c r="B133" s="4" t="s">
        <v>224</v>
      </c>
      <c r="C133" s="5">
        <v>100355</v>
      </c>
      <c r="D133" s="5" t="s">
        <v>65</v>
      </c>
      <c r="E133" s="5" t="s">
        <v>61</v>
      </c>
    </row>
    <row r="134" spans="1:5">
      <c r="A134" s="5" t="s">
        <v>209</v>
      </c>
      <c r="B134" s="4" t="s">
        <v>225</v>
      </c>
      <c r="C134" s="5">
        <v>100356</v>
      </c>
      <c r="D134" s="5" t="s">
        <v>65</v>
      </c>
      <c r="E134" s="5" t="s">
        <v>55</v>
      </c>
    </row>
    <row r="135" spans="1:5">
      <c r="A135" s="5" t="s">
        <v>209</v>
      </c>
      <c r="B135" s="4" t="s">
        <v>226</v>
      </c>
      <c r="C135" s="5">
        <v>100357</v>
      </c>
      <c r="D135" s="5" t="s">
        <v>65</v>
      </c>
      <c r="E135" s="5" t="s">
        <v>61</v>
      </c>
    </row>
    <row r="136" spans="1:5">
      <c r="A136" s="5" t="s">
        <v>209</v>
      </c>
      <c r="B136" s="4" t="s">
        <v>227</v>
      </c>
      <c r="C136" s="5">
        <v>110177</v>
      </c>
      <c r="D136" s="5" t="s">
        <v>228</v>
      </c>
      <c r="E136" s="5" t="s">
        <v>55</v>
      </c>
    </row>
    <row r="137" spans="1:5">
      <c r="A137" s="5" t="s">
        <v>209</v>
      </c>
      <c r="B137" s="4" t="s">
        <v>229</v>
      </c>
      <c r="C137" s="5">
        <v>110186</v>
      </c>
      <c r="D137" s="5" t="s">
        <v>228</v>
      </c>
      <c r="E137" s="5" t="s">
        <v>55</v>
      </c>
    </row>
    <row r="138" spans="1:5">
      <c r="A138" s="5" t="s">
        <v>209</v>
      </c>
      <c r="B138" s="4" t="s">
        <v>230</v>
      </c>
      <c r="C138" s="5">
        <v>110187</v>
      </c>
      <c r="D138" s="5" t="s">
        <v>228</v>
      </c>
      <c r="E138" s="5" t="s">
        <v>55</v>
      </c>
    </row>
    <row r="139" spans="1:5">
      <c r="A139" s="5" t="s">
        <v>209</v>
      </c>
      <c r="B139" s="4" t="s">
        <v>231</v>
      </c>
      <c r="C139" s="5">
        <v>110425</v>
      </c>
      <c r="D139" s="5" t="s">
        <v>107</v>
      </c>
      <c r="E139" s="5" t="s">
        <v>61</v>
      </c>
    </row>
    <row r="140" spans="1:5">
      <c r="A140" s="5" t="s">
        <v>209</v>
      </c>
      <c r="B140" s="4" t="s">
        <v>232</v>
      </c>
      <c r="C140" s="5">
        <v>110473</v>
      </c>
      <c r="D140" s="5" t="s">
        <v>73</v>
      </c>
      <c r="E140" s="5" t="s">
        <v>55</v>
      </c>
    </row>
    <row r="141" spans="1:5" s="67" customFormat="1">
      <c r="A141" s="5" t="s">
        <v>209</v>
      </c>
      <c r="B141" s="4" t="s">
        <v>233</v>
      </c>
      <c r="C141" s="5">
        <v>110480</v>
      </c>
      <c r="D141" s="5" t="s">
        <v>73</v>
      </c>
      <c r="E141" s="5" t="s">
        <v>55</v>
      </c>
    </row>
    <row r="142" spans="1:5" s="67" customFormat="1">
      <c r="A142" s="5" t="s">
        <v>209</v>
      </c>
      <c r="B142" s="7" t="s">
        <v>234</v>
      </c>
      <c r="C142" s="5">
        <v>110562</v>
      </c>
      <c r="D142" s="6" t="s">
        <v>65</v>
      </c>
      <c r="E142" s="5" t="s">
        <v>55</v>
      </c>
    </row>
    <row r="143" spans="1:5" s="67" customFormat="1">
      <c r="A143" s="5" t="s">
        <v>209</v>
      </c>
      <c r="B143" s="4" t="s">
        <v>235</v>
      </c>
      <c r="C143" s="5">
        <v>110721</v>
      </c>
      <c r="D143" s="6" t="s">
        <v>65</v>
      </c>
      <c r="E143" s="5" t="s">
        <v>55</v>
      </c>
    </row>
    <row r="144" spans="1:5" s="67" customFormat="1">
      <c r="A144" s="5" t="s">
        <v>209</v>
      </c>
      <c r="B144" s="4" t="s">
        <v>236</v>
      </c>
      <c r="C144" s="5">
        <v>110724</v>
      </c>
      <c r="D144" s="5" t="s">
        <v>73</v>
      </c>
      <c r="E144" s="5" t="s">
        <v>55</v>
      </c>
    </row>
    <row r="145" spans="1:5" s="67" customFormat="1">
      <c r="A145" s="5" t="s">
        <v>209</v>
      </c>
      <c r="B145" s="4" t="s">
        <v>221</v>
      </c>
      <c r="C145" s="5">
        <v>110763</v>
      </c>
      <c r="D145" s="5" t="s">
        <v>127</v>
      </c>
      <c r="E145" s="5" t="s">
        <v>55</v>
      </c>
    </row>
    <row r="146" spans="1:5" s="67" customFormat="1">
      <c r="A146" s="5" t="s">
        <v>209</v>
      </c>
      <c r="B146" s="4" t="s">
        <v>237</v>
      </c>
      <c r="C146" s="5">
        <v>110844</v>
      </c>
      <c r="D146" s="5" t="s">
        <v>65</v>
      </c>
      <c r="E146" s="5" t="s">
        <v>55</v>
      </c>
    </row>
    <row r="147" spans="1:5" s="67" customFormat="1">
      <c r="A147" s="5" t="s">
        <v>209</v>
      </c>
      <c r="B147" s="4" t="s">
        <v>233</v>
      </c>
      <c r="C147" s="5">
        <v>111052</v>
      </c>
      <c r="D147" s="5" t="s">
        <v>106</v>
      </c>
      <c r="E147" s="6" t="s">
        <v>55</v>
      </c>
    </row>
    <row r="148" spans="1:5" s="67" customFormat="1">
      <c r="A148" s="5" t="s">
        <v>209</v>
      </c>
      <c r="B148" s="4" t="s">
        <v>220</v>
      </c>
      <c r="C148" s="5">
        <v>111053</v>
      </c>
      <c r="D148" s="5" t="s">
        <v>127</v>
      </c>
      <c r="E148" s="6" t="s">
        <v>55</v>
      </c>
    </row>
    <row r="149" spans="1:5">
      <c r="A149" s="5" t="s">
        <v>209</v>
      </c>
      <c r="B149" s="4" t="s">
        <v>222</v>
      </c>
      <c r="C149" s="5">
        <v>111054</v>
      </c>
      <c r="D149" s="5" t="s">
        <v>106</v>
      </c>
      <c r="E149" s="6" t="s">
        <v>55</v>
      </c>
    </row>
    <row r="150" spans="1:5">
      <c r="A150" s="5" t="s">
        <v>209</v>
      </c>
      <c r="B150" s="7" t="s">
        <v>238</v>
      </c>
      <c r="C150" s="6">
        <v>111230</v>
      </c>
      <c r="D150" s="6" t="s">
        <v>65</v>
      </c>
      <c r="E150" s="6" t="s">
        <v>55</v>
      </c>
    </row>
    <row r="151" spans="1:5">
      <c r="A151" s="6" t="s">
        <v>239</v>
      </c>
      <c r="B151" s="7" t="s">
        <v>240</v>
      </c>
      <c r="C151" s="6">
        <v>111750</v>
      </c>
      <c r="D151" s="6" t="s">
        <v>241</v>
      </c>
      <c r="E151" s="5" t="s">
        <v>55</v>
      </c>
    </row>
    <row r="152" spans="1:5">
      <c r="A152" s="6" t="s">
        <v>239</v>
      </c>
      <c r="B152" s="7" t="s">
        <v>242</v>
      </c>
      <c r="C152" s="6">
        <v>110400</v>
      </c>
      <c r="D152" s="6" t="s">
        <v>243</v>
      </c>
      <c r="E152" s="5" t="s">
        <v>55</v>
      </c>
    </row>
    <row r="153" spans="1:5">
      <c r="A153" s="6" t="s">
        <v>239</v>
      </c>
      <c r="B153" s="7" t="s">
        <v>244</v>
      </c>
      <c r="C153" s="6">
        <v>110401</v>
      </c>
      <c r="D153" s="6" t="s">
        <v>243</v>
      </c>
      <c r="E153" s="5" t="s">
        <v>55</v>
      </c>
    </row>
    <row r="154" spans="1:5">
      <c r="A154" s="6" t="s">
        <v>239</v>
      </c>
      <c r="B154" s="7" t="s">
        <v>240</v>
      </c>
      <c r="C154" s="6">
        <v>110402</v>
      </c>
      <c r="D154" s="6" t="s">
        <v>243</v>
      </c>
      <c r="E154" s="5" t="s">
        <v>55</v>
      </c>
    </row>
    <row r="155" spans="1:5">
      <c r="E155" s="69"/>
    </row>
  </sheetData>
  <sheetProtection algorithmName="SHA-512" hashValue="QKUUyVyzEbH2gN71U1tX0HBchq7SAsCuPTzZFlmErN651q9OQXs5IImE3JEwTOvUpA8lZ5injuadySZR+V9WSw==" saltValue="ErbPR4t3lTOrID5c3ZGcjQ==" spinCount="100000" sheet="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2/14/2025</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B1" sqref="B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245</v>
      </c>
      <c r="B1" s="97"/>
      <c r="C1" s="13" t="s">
        <v>246</v>
      </c>
      <c r="D1" s="116"/>
      <c r="E1" s="117"/>
    </row>
    <row r="2" spans="1:5" ht="12.75" hidden="1" customHeight="1" thickBot="1">
      <c r="A2" s="79"/>
      <c r="B2" s="80"/>
      <c r="C2" s="75"/>
      <c r="D2" s="80"/>
      <c r="E2" s="81"/>
    </row>
    <row r="3" spans="1:5" ht="45.75" customHeight="1" thickBot="1">
      <c r="A3" s="16" t="s">
        <v>247</v>
      </c>
      <c r="B3" s="118"/>
      <c r="C3" s="119"/>
      <c r="D3" s="119"/>
      <c r="E3" s="120"/>
    </row>
    <row r="4" spans="1:5" ht="15" thickTop="1">
      <c r="A4" s="60" t="s">
        <v>248</v>
      </c>
      <c r="B4" s="42"/>
      <c r="C4" s="42"/>
      <c r="D4" s="42"/>
      <c r="E4" s="43"/>
    </row>
    <row r="5" spans="1:5" ht="14.4">
      <c r="A5" s="17" t="s">
        <v>249</v>
      </c>
      <c r="B5" s="44"/>
      <c r="C5" s="44"/>
      <c r="D5" s="44"/>
      <c r="E5" s="45"/>
    </row>
    <row r="6" spans="1:5" ht="14.4">
      <c r="A6" s="17" t="s">
        <v>250</v>
      </c>
      <c r="B6" s="58"/>
      <c r="C6" s="58"/>
      <c r="D6" s="58"/>
      <c r="E6" s="59"/>
    </row>
    <row r="7" spans="1:5" ht="14.4">
      <c r="A7" s="14" t="s">
        <v>251</v>
      </c>
      <c r="B7" s="50"/>
      <c r="C7" s="51"/>
      <c r="D7" s="50"/>
      <c r="E7" s="52"/>
    </row>
    <row r="8" spans="1:5" s="2" customFormat="1" ht="14.4">
      <c r="A8" s="18" t="s">
        <v>252</v>
      </c>
      <c r="B8" s="24"/>
      <c r="C8" s="25"/>
      <c r="D8" s="25"/>
      <c r="E8" s="26"/>
    </row>
    <row r="9" spans="1:5" ht="14.4">
      <c r="A9" s="19" t="s">
        <v>253</v>
      </c>
      <c r="B9" s="24"/>
      <c r="C9" s="25"/>
      <c r="D9" s="25"/>
      <c r="E9" s="26"/>
    </row>
    <row r="10" spans="1:5" ht="14.4">
      <c r="A10" s="19" t="s">
        <v>254</v>
      </c>
      <c r="B10" s="24"/>
      <c r="C10" s="25"/>
      <c r="D10" s="25"/>
      <c r="E10" s="26"/>
    </row>
    <row r="11" spans="1:5" ht="14.4">
      <c r="A11" s="20" t="s">
        <v>255</v>
      </c>
      <c r="B11" s="110"/>
      <c r="C11" s="111"/>
      <c r="D11" s="111"/>
      <c r="E11" s="102"/>
    </row>
    <row r="12" spans="1:5" ht="14.4">
      <c r="A12" s="14" t="s">
        <v>256</v>
      </c>
      <c r="B12" s="50"/>
      <c r="C12" s="51"/>
      <c r="D12" s="50"/>
      <c r="E12" s="61"/>
    </row>
    <row r="13" spans="1:5" ht="14.4">
      <c r="A13" s="21" t="s">
        <v>257</v>
      </c>
      <c r="B13" s="24"/>
      <c r="C13" s="25"/>
      <c r="D13" s="25"/>
      <c r="E13" s="26"/>
    </row>
    <row r="14" spans="1:5" ht="14.4">
      <c r="A14" s="21" t="s">
        <v>258</v>
      </c>
      <c r="B14" s="24"/>
      <c r="C14" s="25"/>
      <c r="D14" s="25"/>
      <c r="E14" s="26"/>
    </row>
    <row r="15" spans="1:5" ht="14.4">
      <c r="A15" s="22" t="s">
        <v>259</v>
      </c>
      <c r="B15" s="24"/>
      <c r="C15" s="25"/>
      <c r="D15" s="25"/>
      <c r="E15" s="26"/>
    </row>
    <row r="16" spans="1:5" ht="14.4">
      <c r="A16" s="22" t="s">
        <v>260</v>
      </c>
      <c r="B16" s="24"/>
      <c r="C16" s="25"/>
      <c r="D16" s="25"/>
      <c r="E16" s="26"/>
    </row>
    <row r="17" spans="1:5" ht="14.4">
      <c r="A17" s="21" t="s">
        <v>261</v>
      </c>
      <c r="B17" s="24"/>
      <c r="C17" s="25"/>
      <c r="D17" s="25"/>
      <c r="E17" s="26"/>
    </row>
    <row r="18" spans="1:5" ht="14.4">
      <c r="A18" s="21" t="s">
        <v>262</v>
      </c>
      <c r="B18" s="24"/>
      <c r="C18" s="25"/>
      <c r="D18" s="25"/>
      <c r="E18" s="26"/>
    </row>
    <row r="19" spans="1:5" ht="14.4">
      <c r="A19" s="21" t="s">
        <v>263</v>
      </c>
      <c r="B19" s="24"/>
      <c r="C19" s="25"/>
      <c r="D19" s="25"/>
      <c r="E19" s="26"/>
    </row>
    <row r="20" spans="1:5" ht="14.4">
      <c r="A20" s="22" t="s">
        <v>264</v>
      </c>
      <c r="B20" s="24"/>
      <c r="C20" s="25"/>
      <c r="D20" s="25"/>
      <c r="E20" s="26"/>
    </row>
    <row r="21" spans="1:5" ht="14.4">
      <c r="A21" s="22" t="s">
        <v>265</v>
      </c>
      <c r="B21" s="24"/>
      <c r="C21" s="25"/>
      <c r="D21" s="25"/>
      <c r="E21" s="26"/>
    </row>
    <row r="22" spans="1:5" ht="14.4">
      <c r="A22" s="22" t="s">
        <v>266</v>
      </c>
      <c r="B22" s="24"/>
      <c r="C22" s="25"/>
      <c r="D22" s="25"/>
      <c r="E22" s="26"/>
    </row>
    <row r="23" spans="1:5" ht="14.4">
      <c r="A23" s="21" t="s">
        <v>267</v>
      </c>
      <c r="B23" s="24"/>
      <c r="C23" s="25"/>
      <c r="D23" s="25"/>
      <c r="E23" s="26"/>
    </row>
    <row r="24" spans="1:5" ht="14.4">
      <c r="A24" s="20" t="s">
        <v>268</v>
      </c>
      <c r="B24" s="24"/>
      <c r="C24" s="25"/>
      <c r="D24" s="25"/>
      <c r="E24" s="26"/>
    </row>
    <row r="25" spans="1:5" ht="14.4">
      <c r="A25" s="20" t="s">
        <v>269</v>
      </c>
      <c r="B25" s="24"/>
      <c r="C25" s="25"/>
      <c r="D25" s="25"/>
      <c r="E25" s="26"/>
    </row>
    <row r="26" spans="1:5" ht="14.4">
      <c r="A26" s="20" t="s">
        <v>270</v>
      </c>
      <c r="B26" s="24"/>
      <c r="C26" s="25"/>
      <c r="D26" s="25"/>
      <c r="E26" s="26"/>
    </row>
    <row r="27" spans="1:5" ht="14.4">
      <c r="A27" s="20" t="s">
        <v>271</v>
      </c>
      <c r="B27" s="24"/>
      <c r="C27" s="25"/>
      <c r="D27" s="25"/>
      <c r="E27" s="26"/>
    </row>
    <row r="28" spans="1:5" ht="14.4">
      <c r="A28" s="48" t="s">
        <v>272</v>
      </c>
      <c r="B28" s="50"/>
      <c r="C28" s="51"/>
      <c r="D28" s="53"/>
      <c r="E28" s="52"/>
    </row>
    <row r="29" spans="1:5" ht="14.4">
      <c r="A29" s="18" t="s">
        <v>273</v>
      </c>
      <c r="B29" s="24"/>
      <c r="C29" s="25"/>
      <c r="D29" s="25"/>
      <c r="E29" s="26"/>
    </row>
    <row r="30" spans="1:5" ht="14.4">
      <c r="A30" s="19" t="s">
        <v>274</v>
      </c>
      <c r="B30" s="24"/>
      <c r="C30" s="25"/>
      <c r="D30" s="25"/>
      <c r="E30" s="26"/>
    </row>
    <row r="31" spans="1:5" ht="14.4">
      <c r="A31" s="19" t="s">
        <v>275</v>
      </c>
      <c r="B31" s="24"/>
      <c r="C31" s="25"/>
      <c r="D31" s="25"/>
      <c r="E31" s="26"/>
    </row>
    <row r="32" spans="1:5" ht="14.4">
      <c r="A32" s="19" t="s">
        <v>276</v>
      </c>
      <c r="B32" s="24"/>
      <c r="C32" s="25"/>
      <c r="D32" s="25"/>
      <c r="E32" s="26"/>
    </row>
    <row r="33" spans="1:5" ht="14.4">
      <c r="A33" s="19" t="s">
        <v>277</v>
      </c>
      <c r="B33" s="24"/>
      <c r="C33" s="25"/>
      <c r="D33" s="25"/>
      <c r="E33" s="26"/>
    </row>
    <row r="34" spans="1:5" ht="14.4">
      <c r="A34" s="19" t="s">
        <v>278</v>
      </c>
      <c r="B34" s="24"/>
      <c r="C34" s="25"/>
      <c r="D34" s="25"/>
      <c r="E34" s="26"/>
    </row>
    <row r="35" spans="1:5" ht="14.4">
      <c r="A35" s="19" t="s">
        <v>279</v>
      </c>
      <c r="B35" s="24"/>
      <c r="C35" s="25"/>
      <c r="D35" s="25"/>
      <c r="E35" s="26"/>
    </row>
    <row r="36" spans="1:5" ht="14.4">
      <c r="A36" s="19" t="s">
        <v>280</v>
      </c>
      <c r="B36" s="24"/>
      <c r="C36" s="25"/>
      <c r="D36" s="25"/>
      <c r="E36" s="26"/>
    </row>
    <row r="37" spans="1:5" ht="14.4">
      <c r="A37" s="19" t="s">
        <v>281</v>
      </c>
      <c r="B37" s="24"/>
      <c r="C37" s="25"/>
      <c r="D37" s="25"/>
      <c r="E37" s="26"/>
    </row>
    <row r="38" spans="1:5" ht="14.4">
      <c r="A38" s="49" t="s">
        <v>282</v>
      </c>
      <c r="B38" s="50"/>
      <c r="C38" s="50"/>
      <c r="D38" s="50"/>
      <c r="E38" s="52"/>
    </row>
    <row r="39" spans="1:5" ht="14.4">
      <c r="A39" s="19" t="s">
        <v>283</v>
      </c>
      <c r="B39" s="24"/>
      <c r="C39" s="54"/>
      <c r="D39" s="55"/>
      <c r="E39" s="26"/>
    </row>
    <row r="40" spans="1:5" ht="14.4">
      <c r="A40" s="19" t="s">
        <v>284</v>
      </c>
      <c r="B40" s="24"/>
      <c r="C40" s="25"/>
      <c r="D40" s="25"/>
      <c r="E40" s="26"/>
    </row>
    <row r="41" spans="1:5" ht="14.4">
      <c r="A41" s="46" t="s">
        <v>285</v>
      </c>
      <c r="B41" s="50"/>
      <c r="C41" s="50"/>
      <c r="D41" s="50"/>
      <c r="E41" s="52"/>
    </row>
    <row r="42" spans="1:5" ht="14.4">
      <c r="A42" s="19"/>
      <c r="B42" s="27"/>
      <c r="C42" s="28"/>
      <c r="D42" s="28"/>
      <c r="E42" s="29"/>
    </row>
    <row r="43" spans="1:5" ht="15" thickBot="1">
      <c r="A43" s="47" t="s">
        <v>286</v>
      </c>
      <c r="B43" s="56"/>
      <c r="C43" s="56"/>
      <c r="D43" s="56"/>
      <c r="E43" s="57"/>
    </row>
    <row r="44" spans="1:5" ht="14.4" thickTop="1"/>
    <row r="45" spans="1:5" ht="30" customHeight="1"/>
    <row r="47" spans="1:5" ht="30" customHeight="1"/>
    <row r="54" ht="30" customHeight="1"/>
    <row r="81" ht="30" customHeight="1"/>
    <row r="86" ht="30" customHeight="1"/>
  </sheetData>
  <sheetProtection algorithmName="SHA-512" hashValue="xF9KnK6xxY6uvL5R9UHULRlJn5x/f+IG+AIXZsYTpLyVyIa+3EmQrcaWHZIPqc3iblHo0Y4TL2Y99OIf6+o4Jg==" saltValue="qncxlPixE5nx29UlbaYkJg=="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A71673AF-CF4B-4157-90E7-ABD92A886D72}">
          <x14:formula1>
            <xm:f>'Material List'!N2:N152</xm:f>
          </x14:formula1>
          <xm:sqref>D1:E1</xm:sqref>
        </x14:dataValidation>
        <x14:dataValidation type="list" allowBlank="1" showInputMessage="1" showErrorMessage="1" xr:uid="{26AD0FBA-933B-49CA-8B69-998D3FCAE1FE}">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78"/>
  <sheetViews>
    <sheetView topLeftCell="A156" workbookViewId="0">
      <selection activeCell="A168" sqref="A168:XFD168"/>
    </sheetView>
  </sheetViews>
  <sheetFormatPr defaultColWidth="15.77734375" defaultRowHeight="14.4"/>
  <cols>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 min="65" max="65" width="51.44140625" customWidth="1"/>
  </cols>
  <sheetData>
    <row r="1" spans="1:67" s="23" customFormat="1" ht="56.7" customHeight="1">
      <c r="A1" s="91" t="s">
        <v>287</v>
      </c>
      <c r="B1" s="91" t="s">
        <v>288</v>
      </c>
      <c r="C1" s="91" t="s">
        <v>289</v>
      </c>
      <c r="D1" s="91" t="s">
        <v>290</v>
      </c>
      <c r="E1" s="91" t="s">
        <v>249</v>
      </c>
      <c r="F1" s="91" t="s">
        <v>248</v>
      </c>
      <c r="G1" s="91" t="s">
        <v>291</v>
      </c>
      <c r="H1" s="91" t="s">
        <v>292</v>
      </c>
      <c r="I1" s="91" t="s">
        <v>293</v>
      </c>
      <c r="J1" s="91" t="s">
        <v>294</v>
      </c>
      <c r="K1" s="91" t="s">
        <v>295</v>
      </c>
      <c r="L1" s="91" t="s">
        <v>252</v>
      </c>
      <c r="M1" s="91" t="s">
        <v>296</v>
      </c>
      <c r="N1" s="91" t="s">
        <v>297</v>
      </c>
      <c r="O1" s="91" t="s">
        <v>298</v>
      </c>
      <c r="P1" s="91" t="s">
        <v>299</v>
      </c>
      <c r="Q1" s="91" t="s">
        <v>300</v>
      </c>
      <c r="R1" s="91" t="s">
        <v>301</v>
      </c>
      <c r="S1" s="91" t="s">
        <v>255</v>
      </c>
      <c r="T1" s="91" t="s">
        <v>302</v>
      </c>
      <c r="U1" s="91" t="s">
        <v>303</v>
      </c>
      <c r="V1" s="91" t="s">
        <v>304</v>
      </c>
      <c r="W1" s="91" t="s">
        <v>305</v>
      </c>
      <c r="X1" s="91" t="s">
        <v>306</v>
      </c>
      <c r="Y1" s="91" t="s">
        <v>307</v>
      </c>
      <c r="Z1" s="91" t="s">
        <v>308</v>
      </c>
      <c r="AA1" s="91" t="s">
        <v>309</v>
      </c>
      <c r="AB1" s="91" t="s">
        <v>310</v>
      </c>
      <c r="AC1" s="91" t="s">
        <v>311</v>
      </c>
      <c r="AD1" s="91" t="s">
        <v>312</v>
      </c>
      <c r="AE1" s="91" t="s">
        <v>313</v>
      </c>
      <c r="AF1" s="91" t="s">
        <v>314</v>
      </c>
      <c r="AG1" s="91" t="s">
        <v>315</v>
      </c>
      <c r="AH1" s="91" t="s">
        <v>316</v>
      </c>
      <c r="AI1" s="91" t="s">
        <v>317</v>
      </c>
      <c r="AJ1" s="91" t="s">
        <v>318</v>
      </c>
      <c r="AK1" s="91" t="s">
        <v>319</v>
      </c>
      <c r="AL1" s="91" t="s">
        <v>320</v>
      </c>
      <c r="AM1" s="91" t="s">
        <v>321</v>
      </c>
      <c r="AN1" s="91" t="s">
        <v>322</v>
      </c>
      <c r="AO1" s="91" t="s">
        <v>323</v>
      </c>
      <c r="AP1" s="91" t="s">
        <v>324</v>
      </c>
      <c r="AQ1" s="91" t="s">
        <v>325</v>
      </c>
      <c r="AR1" s="91" t="s">
        <v>326</v>
      </c>
      <c r="AS1" s="91" t="s">
        <v>327</v>
      </c>
      <c r="AT1" s="91" t="s">
        <v>328</v>
      </c>
      <c r="AU1" s="91" t="s">
        <v>329</v>
      </c>
      <c r="AV1" s="91" t="s">
        <v>330</v>
      </c>
      <c r="AW1" s="91" t="s">
        <v>331</v>
      </c>
      <c r="AX1" s="91" t="s">
        <v>332</v>
      </c>
      <c r="AY1" s="91" t="s">
        <v>333</v>
      </c>
      <c r="AZ1" s="91" t="s">
        <v>91</v>
      </c>
      <c r="BA1" s="91" t="s">
        <v>334</v>
      </c>
      <c r="BB1" s="91" t="s">
        <v>335</v>
      </c>
      <c r="BC1" s="91" t="s">
        <v>336</v>
      </c>
      <c r="BD1" s="91" t="s">
        <v>337</v>
      </c>
      <c r="BE1" s="91" t="s">
        <v>338</v>
      </c>
      <c r="BF1" s="91" t="s">
        <v>339</v>
      </c>
      <c r="BG1" s="91" t="s">
        <v>340</v>
      </c>
      <c r="BH1" s="91" t="s">
        <v>341</v>
      </c>
      <c r="BI1" s="91" t="s">
        <v>283</v>
      </c>
      <c r="BJ1" s="91" t="s">
        <v>284</v>
      </c>
      <c r="BK1" s="92" t="s">
        <v>342</v>
      </c>
      <c r="BL1" s="92" t="s">
        <v>343</v>
      </c>
      <c r="BM1" s="91" t="s">
        <v>344</v>
      </c>
      <c r="BN1" s="91" t="s">
        <v>345</v>
      </c>
    </row>
    <row r="2" spans="1:67">
      <c r="A2" s="100">
        <v>100002</v>
      </c>
      <c r="B2" s="89" t="s">
        <v>64</v>
      </c>
      <c r="C2" s="89" t="s">
        <v>63</v>
      </c>
      <c r="D2" s="89" t="s">
        <v>346</v>
      </c>
      <c r="E2" s="89" t="s">
        <v>347</v>
      </c>
      <c r="F2" s="89" t="s">
        <v>348</v>
      </c>
      <c r="G2" s="89" t="s">
        <v>349</v>
      </c>
      <c r="H2" s="89" t="s">
        <v>350</v>
      </c>
      <c r="I2" s="89" t="s">
        <v>351</v>
      </c>
      <c r="J2" s="89" t="s">
        <v>352</v>
      </c>
      <c r="K2" s="89"/>
      <c r="L2" s="89">
        <v>28</v>
      </c>
      <c r="M2" s="89" t="s">
        <v>353</v>
      </c>
      <c r="N2" s="89" t="s">
        <v>354</v>
      </c>
      <c r="O2" s="89">
        <v>28</v>
      </c>
      <c r="P2" s="89" t="s">
        <v>353</v>
      </c>
      <c r="Q2" s="89" t="s">
        <v>355</v>
      </c>
      <c r="R2" s="89" t="s">
        <v>356</v>
      </c>
      <c r="S2" s="89"/>
      <c r="T2" s="89"/>
      <c r="U2" s="89"/>
      <c r="V2" s="89"/>
      <c r="W2" s="89"/>
      <c r="X2" s="89"/>
      <c r="Y2" s="89"/>
      <c r="Z2" s="89"/>
      <c r="AA2" s="89"/>
      <c r="AB2" s="89"/>
      <c r="AC2" s="89"/>
      <c r="AD2" s="89"/>
      <c r="AE2" s="89"/>
      <c r="AF2" s="89">
        <v>193</v>
      </c>
      <c r="AG2" s="89">
        <v>1</v>
      </c>
      <c r="AH2" s="89">
        <v>25</v>
      </c>
      <c r="AI2" s="89">
        <v>110</v>
      </c>
      <c r="AJ2" s="89">
        <v>5</v>
      </c>
      <c r="AK2" s="89">
        <v>0</v>
      </c>
      <c r="AL2" s="89">
        <v>0</v>
      </c>
      <c r="AM2" s="89">
        <v>0</v>
      </c>
      <c r="AN2" s="89">
        <v>20</v>
      </c>
      <c r="AO2" s="89">
        <v>6</v>
      </c>
      <c r="AP2" s="89">
        <v>180</v>
      </c>
      <c r="AQ2" s="89">
        <v>0</v>
      </c>
      <c r="AR2" s="89">
        <v>0</v>
      </c>
      <c r="AS2" s="89">
        <v>9</v>
      </c>
      <c r="AT2" s="89">
        <v>0.2</v>
      </c>
      <c r="AU2" s="89" t="s">
        <v>357</v>
      </c>
      <c r="AV2" s="89">
        <f>80*6</f>
        <v>480</v>
      </c>
      <c r="AW2" s="89" t="s">
        <v>358</v>
      </c>
      <c r="AX2" s="89"/>
      <c r="AY2" s="89" t="s">
        <v>359</v>
      </c>
      <c r="AZ2" s="89" t="s">
        <v>359</v>
      </c>
      <c r="BA2" s="89" t="s">
        <v>360</v>
      </c>
      <c r="BB2" s="89" t="s">
        <v>359</v>
      </c>
      <c r="BC2" s="89" t="s">
        <v>359</v>
      </c>
      <c r="BD2" s="89" t="s">
        <v>359</v>
      </c>
      <c r="BE2" s="89" t="s">
        <v>359</v>
      </c>
      <c r="BF2" s="89" t="s">
        <v>359</v>
      </c>
      <c r="BG2" s="89" t="s">
        <v>359</v>
      </c>
      <c r="BH2" s="89" t="s">
        <v>361</v>
      </c>
      <c r="BI2" s="89"/>
      <c r="BJ2" s="89"/>
      <c r="BK2" s="74">
        <v>45112.558854166673</v>
      </c>
      <c r="BL2" s="74">
        <v>45086.466666666667</v>
      </c>
      <c r="BM2" s="89" t="s">
        <v>362</v>
      </c>
      <c r="BN2" s="89" t="b">
        <v>0</v>
      </c>
      <c r="BO2" s="89"/>
    </row>
    <row r="3" spans="1:67">
      <c r="A3" s="100">
        <v>100002</v>
      </c>
      <c r="B3" s="89" t="s">
        <v>64</v>
      </c>
      <c r="C3" s="89" t="s">
        <v>63</v>
      </c>
      <c r="D3" s="89" t="s">
        <v>363</v>
      </c>
      <c r="E3" s="89" t="s">
        <v>364</v>
      </c>
      <c r="F3" s="89" t="s">
        <v>365</v>
      </c>
      <c r="G3" s="89" t="s">
        <v>366</v>
      </c>
      <c r="H3" s="89" t="s">
        <v>367</v>
      </c>
      <c r="I3" s="89" t="s">
        <v>368</v>
      </c>
      <c r="J3" s="89" t="s">
        <v>369</v>
      </c>
      <c r="K3" s="89" t="s">
        <v>370</v>
      </c>
      <c r="L3" s="89">
        <v>28</v>
      </c>
      <c r="M3" s="89" t="s">
        <v>353</v>
      </c>
      <c r="N3" s="89" t="s">
        <v>354</v>
      </c>
      <c r="O3" s="89">
        <v>28</v>
      </c>
      <c r="P3" s="89" t="s">
        <v>353</v>
      </c>
      <c r="Q3" s="89" t="s">
        <v>355</v>
      </c>
      <c r="R3" s="89" t="s">
        <v>371</v>
      </c>
      <c r="S3" s="89"/>
      <c r="T3" s="89"/>
      <c r="U3" s="93"/>
      <c r="V3" s="93"/>
      <c r="W3" s="93"/>
      <c r="X3" s="89"/>
      <c r="Y3" s="89"/>
      <c r="Z3" s="89"/>
      <c r="AA3" s="89"/>
      <c r="AB3" s="93"/>
      <c r="AC3" s="93"/>
      <c r="AD3" s="89"/>
      <c r="AE3" s="89"/>
      <c r="AF3" s="89">
        <v>200</v>
      </c>
      <c r="AG3" s="89">
        <v>1</v>
      </c>
      <c r="AH3" s="89">
        <v>30</v>
      </c>
      <c r="AI3" s="89">
        <v>110</v>
      </c>
      <c r="AJ3" s="89">
        <v>5</v>
      </c>
      <c r="AK3" s="89">
        <v>0</v>
      </c>
      <c r="AL3" s="89">
        <v>0</v>
      </c>
      <c r="AM3" s="89">
        <v>0</v>
      </c>
      <c r="AN3" s="89">
        <v>20</v>
      </c>
      <c r="AO3" s="89">
        <v>6</v>
      </c>
      <c r="AP3" s="89">
        <v>190</v>
      </c>
      <c r="AQ3" s="89">
        <v>0</v>
      </c>
      <c r="AR3" s="89">
        <v>0</v>
      </c>
      <c r="AS3" s="89">
        <v>9</v>
      </c>
      <c r="AT3" s="89">
        <v>0.2</v>
      </c>
      <c r="AU3" s="89"/>
      <c r="AV3" s="100">
        <v>480</v>
      </c>
      <c r="AW3" s="89" t="s">
        <v>372</v>
      </c>
      <c r="AX3" s="89" t="s">
        <v>373</v>
      </c>
      <c r="AY3" s="89"/>
      <c r="AZ3" s="89"/>
      <c r="BA3" s="89" t="s">
        <v>360</v>
      </c>
      <c r="BB3" s="89"/>
      <c r="BC3" s="89"/>
      <c r="BD3" s="89"/>
      <c r="BE3" s="89"/>
      <c r="BF3" s="89"/>
      <c r="BG3" s="89"/>
      <c r="BH3" s="89" t="s">
        <v>374</v>
      </c>
      <c r="BI3" s="89"/>
      <c r="BJ3" s="89"/>
      <c r="BK3" s="74">
        <v>44823.23228009259</v>
      </c>
      <c r="BL3" s="74">
        <v>44817.384780092587</v>
      </c>
      <c r="BM3" s="89" t="s">
        <v>375</v>
      </c>
      <c r="BN3" s="89" t="b">
        <v>0</v>
      </c>
      <c r="BO3" s="89"/>
    </row>
    <row r="4" spans="1:67">
      <c r="A4" s="83">
        <v>100003</v>
      </c>
      <c r="B4" s="83" t="s">
        <v>66</v>
      </c>
      <c r="C4" s="89" t="s">
        <v>63</v>
      </c>
      <c r="D4" s="83" t="s">
        <v>2108</v>
      </c>
      <c r="E4" s="83" t="s">
        <v>416</v>
      </c>
      <c r="F4" s="83" t="s">
        <v>417</v>
      </c>
      <c r="G4" s="83" t="s">
        <v>417</v>
      </c>
      <c r="H4" s="83" t="s">
        <v>2109</v>
      </c>
      <c r="I4" s="83" t="s">
        <v>2109</v>
      </c>
      <c r="J4" s="83" t="s">
        <v>2109</v>
      </c>
      <c r="K4" s="83" t="s">
        <v>370</v>
      </c>
      <c r="L4" s="83">
        <v>100</v>
      </c>
      <c r="M4" s="83" t="s">
        <v>353</v>
      </c>
      <c r="N4" s="83" t="s">
        <v>419</v>
      </c>
      <c r="O4" s="83">
        <v>100</v>
      </c>
      <c r="P4" s="83" t="s">
        <v>353</v>
      </c>
      <c r="Q4" s="83" t="s">
        <v>2291</v>
      </c>
      <c r="R4" s="83" t="s">
        <v>356</v>
      </c>
      <c r="S4" s="83"/>
      <c r="T4" s="83"/>
      <c r="U4" s="84"/>
      <c r="V4" s="84"/>
      <c r="W4" s="84"/>
      <c r="X4" s="83"/>
      <c r="Y4" s="83"/>
      <c r="Z4" s="83"/>
      <c r="AA4" s="83"/>
      <c r="AB4" s="84"/>
      <c r="AC4" s="84"/>
      <c r="AD4" s="83"/>
      <c r="AE4" s="83"/>
      <c r="AF4" s="83">
        <v>793</v>
      </c>
      <c r="AG4" s="83">
        <v>5</v>
      </c>
      <c r="AH4" s="83">
        <v>96</v>
      </c>
      <c r="AI4" s="83">
        <v>400</v>
      </c>
      <c r="AJ4" s="83">
        <v>18</v>
      </c>
      <c r="AK4" s="83">
        <v>1</v>
      </c>
      <c r="AL4" s="83">
        <v>2</v>
      </c>
      <c r="AM4" s="83">
        <v>0</v>
      </c>
      <c r="AN4">
        <v>0</v>
      </c>
      <c r="AO4" s="83">
        <v>22</v>
      </c>
      <c r="AP4" s="83">
        <v>634</v>
      </c>
      <c r="AQ4" s="83">
        <v>0</v>
      </c>
      <c r="AR4">
        <v>0</v>
      </c>
      <c r="AS4" s="83">
        <v>32</v>
      </c>
      <c r="AT4">
        <v>0</v>
      </c>
      <c r="AU4" s="83"/>
      <c r="AV4" s="83" t="s">
        <v>2079</v>
      </c>
      <c r="AW4" s="83" t="s">
        <v>372</v>
      </c>
      <c r="AX4" s="83"/>
      <c r="AY4" s="83" t="s">
        <v>359</v>
      </c>
      <c r="AZ4" s="83" t="s">
        <v>359</v>
      </c>
      <c r="BA4" s="83" t="s">
        <v>360</v>
      </c>
      <c r="BB4" s="83" t="s">
        <v>359</v>
      </c>
      <c r="BC4" t="s">
        <v>359</v>
      </c>
      <c r="BD4" s="83" t="s">
        <v>359</v>
      </c>
      <c r="BE4" s="83" t="s">
        <v>359</v>
      </c>
      <c r="BF4" s="83" t="s">
        <v>359</v>
      </c>
      <c r="BG4" s="83" t="s">
        <v>359</v>
      </c>
      <c r="BH4" t="s">
        <v>2110</v>
      </c>
      <c r="BI4" s="83"/>
      <c r="BJ4" s="83"/>
      <c r="BK4" t="s">
        <v>2105</v>
      </c>
      <c r="BL4" t="s">
        <v>2111</v>
      </c>
      <c r="BM4" s="83" t="s">
        <v>2112</v>
      </c>
      <c r="BN4" s="83" t="b">
        <v>1</v>
      </c>
      <c r="BO4" s="89"/>
    </row>
    <row r="5" spans="1:67">
      <c r="A5" s="100">
        <v>100003</v>
      </c>
      <c r="B5" s="89" t="s">
        <v>66</v>
      </c>
      <c r="C5" s="89" t="s">
        <v>63</v>
      </c>
      <c r="D5" s="89" t="s">
        <v>376</v>
      </c>
      <c r="E5" s="89" t="s">
        <v>347</v>
      </c>
      <c r="F5" s="89" t="s">
        <v>348</v>
      </c>
      <c r="G5" s="89" t="s">
        <v>349</v>
      </c>
      <c r="H5" s="89" t="s">
        <v>350</v>
      </c>
      <c r="I5" s="89" t="s">
        <v>377</v>
      </c>
      <c r="J5" s="89" t="s">
        <v>352</v>
      </c>
      <c r="K5" s="89"/>
      <c r="L5" s="89">
        <v>28</v>
      </c>
      <c r="M5" s="89" t="s">
        <v>353</v>
      </c>
      <c r="N5" s="89" t="s">
        <v>354</v>
      </c>
      <c r="O5" s="89">
        <v>28</v>
      </c>
      <c r="P5" s="89" t="s">
        <v>353</v>
      </c>
      <c r="Q5" s="89" t="s">
        <v>355</v>
      </c>
      <c r="R5" s="89" t="s">
        <v>356</v>
      </c>
      <c r="S5" s="89"/>
      <c r="T5" s="89"/>
      <c r="U5" s="89"/>
      <c r="V5" s="89"/>
      <c r="W5" s="89"/>
      <c r="X5" s="89"/>
      <c r="Y5" s="89"/>
      <c r="Z5" s="89"/>
      <c r="AA5" s="89"/>
      <c r="AB5" s="89"/>
      <c r="AC5" s="89"/>
      <c r="AD5" s="89"/>
      <c r="AE5" s="89"/>
      <c r="AF5" s="89">
        <v>193</v>
      </c>
      <c r="AG5" s="89">
        <v>1</v>
      </c>
      <c r="AH5" s="89">
        <v>25</v>
      </c>
      <c r="AI5" s="89">
        <v>110</v>
      </c>
      <c r="AJ5" s="89">
        <v>5</v>
      </c>
      <c r="AK5" s="89">
        <v>0</v>
      </c>
      <c r="AL5" s="89">
        <v>0</v>
      </c>
      <c r="AM5" s="89">
        <v>0</v>
      </c>
      <c r="AN5" s="89">
        <v>20</v>
      </c>
      <c r="AO5" s="89">
        <v>6</v>
      </c>
      <c r="AP5" s="89">
        <v>180</v>
      </c>
      <c r="AQ5" s="89">
        <v>0</v>
      </c>
      <c r="AR5" s="89">
        <v>0</v>
      </c>
      <c r="AS5" s="89">
        <v>9</v>
      </c>
      <c r="AT5" s="89">
        <v>0.2</v>
      </c>
      <c r="AU5" s="89" t="s">
        <v>378</v>
      </c>
      <c r="AV5" s="89">
        <f>80*6</f>
        <v>480</v>
      </c>
      <c r="AW5" s="89" t="s">
        <v>358</v>
      </c>
      <c r="AX5" s="89"/>
      <c r="AY5" s="89" t="s">
        <v>359</v>
      </c>
      <c r="AZ5" s="89" t="s">
        <v>359</v>
      </c>
      <c r="BA5" s="89" t="s">
        <v>360</v>
      </c>
      <c r="BB5" s="89" t="s">
        <v>359</v>
      </c>
      <c r="BC5" s="89" t="s">
        <v>359</v>
      </c>
      <c r="BD5" s="89" t="s">
        <v>359</v>
      </c>
      <c r="BE5" s="89" t="s">
        <v>359</v>
      </c>
      <c r="BF5" s="89" t="s">
        <v>359</v>
      </c>
      <c r="BG5" s="89" t="s">
        <v>359</v>
      </c>
      <c r="BH5" s="89" t="s">
        <v>361</v>
      </c>
      <c r="BI5" s="89"/>
      <c r="BJ5" s="89"/>
      <c r="BK5" s="74">
        <v>45112.574328703697</v>
      </c>
      <c r="BL5" s="74">
        <v>45086.470138888893</v>
      </c>
      <c r="BM5" s="89" t="s">
        <v>379</v>
      </c>
      <c r="BN5" s="89" t="b">
        <v>0</v>
      </c>
      <c r="BO5" s="89"/>
    </row>
    <row r="6" spans="1:67">
      <c r="A6" s="100">
        <v>100003</v>
      </c>
      <c r="B6" s="89" t="s">
        <v>66</v>
      </c>
      <c r="C6" s="89" t="s">
        <v>63</v>
      </c>
      <c r="D6" s="89" t="s">
        <v>380</v>
      </c>
      <c r="E6" s="89" t="s">
        <v>364</v>
      </c>
      <c r="F6" s="89" t="s">
        <v>365</v>
      </c>
      <c r="G6" s="89" t="s">
        <v>366</v>
      </c>
      <c r="H6" s="89" t="s">
        <v>381</v>
      </c>
      <c r="I6" s="89" t="s">
        <v>382</v>
      </c>
      <c r="J6" s="89" t="s">
        <v>369</v>
      </c>
      <c r="K6" s="89" t="s">
        <v>370</v>
      </c>
      <c r="L6" s="89">
        <v>28</v>
      </c>
      <c r="M6" s="89" t="s">
        <v>353</v>
      </c>
      <c r="N6" s="89" t="s">
        <v>354</v>
      </c>
      <c r="O6" s="89">
        <v>28</v>
      </c>
      <c r="P6" s="89" t="s">
        <v>353</v>
      </c>
      <c r="Q6" s="89" t="s">
        <v>355</v>
      </c>
      <c r="R6" s="89" t="s">
        <v>371</v>
      </c>
      <c r="S6" s="89"/>
      <c r="T6" s="89"/>
      <c r="U6" s="93"/>
      <c r="V6" s="93"/>
      <c r="W6" s="93"/>
      <c r="X6" s="89"/>
      <c r="Y6" s="89"/>
      <c r="Z6" s="89"/>
      <c r="AA6" s="89"/>
      <c r="AB6" s="93"/>
      <c r="AC6" s="93"/>
      <c r="AD6" s="89"/>
      <c r="AE6" s="89"/>
      <c r="AF6" s="89">
        <v>200</v>
      </c>
      <c r="AG6" s="89">
        <v>1</v>
      </c>
      <c r="AH6" s="89">
        <v>30</v>
      </c>
      <c r="AI6" s="89">
        <v>110</v>
      </c>
      <c r="AJ6" s="89">
        <v>5</v>
      </c>
      <c r="AK6" s="89">
        <v>0</v>
      </c>
      <c r="AL6" s="89">
        <v>0</v>
      </c>
      <c r="AM6" s="89">
        <v>0</v>
      </c>
      <c r="AN6" s="89">
        <v>20</v>
      </c>
      <c r="AO6" s="89">
        <v>6</v>
      </c>
      <c r="AP6" s="89">
        <v>190</v>
      </c>
      <c r="AQ6" s="89">
        <v>0</v>
      </c>
      <c r="AR6" s="89">
        <v>0</v>
      </c>
      <c r="AS6" s="89">
        <v>9</v>
      </c>
      <c r="AT6" s="89">
        <v>0.2</v>
      </c>
      <c r="AU6" s="89"/>
      <c r="AV6" s="100">
        <v>480</v>
      </c>
      <c r="AW6" s="89" t="s">
        <v>372</v>
      </c>
      <c r="AX6" s="89" t="s">
        <v>373</v>
      </c>
      <c r="AY6" s="89"/>
      <c r="AZ6" s="89"/>
      <c r="BA6" s="89" t="s">
        <v>360</v>
      </c>
      <c r="BB6" s="89"/>
      <c r="BC6" s="89"/>
      <c r="BD6" s="89"/>
      <c r="BE6" s="89"/>
      <c r="BF6" s="89"/>
      <c r="BG6" s="89"/>
      <c r="BH6" s="89" t="s">
        <v>374</v>
      </c>
      <c r="BI6" s="89"/>
      <c r="BJ6" s="89"/>
      <c r="BK6" s="74">
        <v>44823.221412037034</v>
      </c>
      <c r="BL6" s="74">
        <v>44817.386736111112</v>
      </c>
      <c r="BM6" s="89" t="s">
        <v>375</v>
      </c>
      <c r="BN6" s="89" t="b">
        <v>0</v>
      </c>
      <c r="BO6" s="89"/>
    </row>
    <row r="7" spans="1:67">
      <c r="A7" s="83">
        <v>100003</v>
      </c>
      <c r="B7" s="83" t="s">
        <v>66</v>
      </c>
      <c r="C7" s="83" t="s">
        <v>63</v>
      </c>
      <c r="D7" s="83" t="s">
        <v>2363</v>
      </c>
      <c r="E7" s="83" t="s">
        <v>1445</v>
      </c>
      <c r="F7" s="83" t="s">
        <v>1446</v>
      </c>
      <c r="G7" s="83" t="s">
        <v>1447</v>
      </c>
      <c r="H7" s="83" t="s">
        <v>2364</v>
      </c>
      <c r="I7" t="s">
        <v>2365</v>
      </c>
      <c r="J7" s="83" t="s">
        <v>2366</v>
      </c>
      <c r="K7" s="83"/>
      <c r="L7" s="83">
        <v>28</v>
      </c>
      <c r="M7" s="83" t="s">
        <v>353</v>
      </c>
      <c r="N7" s="83" t="s">
        <v>354</v>
      </c>
      <c r="O7">
        <v>1</v>
      </c>
      <c r="P7" t="s">
        <v>788</v>
      </c>
      <c r="Q7" s="89" t="s">
        <v>355</v>
      </c>
      <c r="R7" s="83" t="s">
        <v>371</v>
      </c>
      <c r="S7" s="83"/>
      <c r="T7" s="83"/>
      <c r="U7" s="84"/>
      <c r="V7" s="84"/>
      <c r="W7" s="84"/>
      <c r="X7" s="83"/>
      <c r="Y7" s="83"/>
      <c r="Z7" s="83"/>
      <c r="AA7" s="83"/>
      <c r="AB7" s="84"/>
      <c r="AC7" s="84"/>
      <c r="AD7" s="83"/>
      <c r="AE7" s="83"/>
      <c r="AF7" s="83">
        <v>200</v>
      </c>
      <c r="AG7" s="83">
        <v>0</v>
      </c>
      <c r="AH7" s="83">
        <v>30</v>
      </c>
      <c r="AI7" s="83">
        <v>110</v>
      </c>
      <c r="AJ7" s="83">
        <v>6</v>
      </c>
      <c r="AK7" s="83">
        <v>0</v>
      </c>
      <c r="AL7" s="83">
        <v>0</v>
      </c>
      <c r="AM7" s="83">
        <v>0</v>
      </c>
      <c r="AN7">
        <v>25</v>
      </c>
      <c r="AO7" s="83">
        <v>7</v>
      </c>
      <c r="AP7" s="83">
        <v>170</v>
      </c>
      <c r="AQ7" s="83">
        <v>0</v>
      </c>
      <c r="AR7" s="83">
        <v>0</v>
      </c>
      <c r="AS7" s="83">
        <v>9</v>
      </c>
      <c r="AT7" s="83">
        <v>0</v>
      </c>
      <c r="AU7" s="83"/>
      <c r="AV7" s="83">
        <f>80*6</f>
        <v>480</v>
      </c>
      <c r="AW7" s="83" t="s">
        <v>358</v>
      </c>
      <c r="AX7" s="83"/>
      <c r="AY7" s="83" t="s">
        <v>359</v>
      </c>
      <c r="AZ7" s="83" t="s">
        <v>359</v>
      </c>
      <c r="BA7" s="83" t="s">
        <v>360</v>
      </c>
      <c r="BB7" s="83" t="s">
        <v>359</v>
      </c>
      <c r="BC7" s="83" t="s">
        <v>359</v>
      </c>
      <c r="BD7" s="83" t="s">
        <v>359</v>
      </c>
      <c r="BE7" t="s">
        <v>359</v>
      </c>
      <c r="BF7" s="83" t="s">
        <v>359</v>
      </c>
      <c r="BG7" s="83" t="s">
        <v>359</v>
      </c>
      <c r="BH7" t="s">
        <v>2367</v>
      </c>
      <c r="BI7" s="83"/>
      <c r="BJ7" s="83"/>
      <c r="BK7" t="s">
        <v>2297</v>
      </c>
      <c r="BL7" t="s">
        <v>2368</v>
      </c>
      <c r="BM7" s="83" t="s">
        <v>2369</v>
      </c>
      <c r="BN7" s="83" t="b">
        <v>0</v>
      </c>
      <c r="BO7" s="89"/>
    </row>
    <row r="8" spans="1:67">
      <c r="A8" s="100">
        <v>100012</v>
      </c>
      <c r="B8" s="89" t="s">
        <v>67</v>
      </c>
      <c r="C8" s="89" t="s">
        <v>63</v>
      </c>
      <c r="D8" s="89" t="s">
        <v>383</v>
      </c>
      <c r="E8" s="89" t="s">
        <v>347</v>
      </c>
      <c r="F8" s="89" t="s">
        <v>348</v>
      </c>
      <c r="G8" s="89" t="s">
        <v>349</v>
      </c>
      <c r="H8" s="89" t="s">
        <v>350</v>
      </c>
      <c r="I8" s="89" t="s">
        <v>384</v>
      </c>
      <c r="J8" s="89" t="s">
        <v>352</v>
      </c>
      <c r="K8" s="89"/>
      <c r="L8" s="89">
        <v>28</v>
      </c>
      <c r="M8" s="89" t="s">
        <v>353</v>
      </c>
      <c r="N8" s="89" t="s">
        <v>354</v>
      </c>
      <c r="O8" s="89">
        <v>28</v>
      </c>
      <c r="P8" s="89" t="s">
        <v>353</v>
      </c>
      <c r="Q8" s="89" t="s">
        <v>355</v>
      </c>
      <c r="R8" s="89" t="s">
        <v>356</v>
      </c>
      <c r="S8" s="89"/>
      <c r="T8" s="89"/>
      <c r="U8" s="89"/>
      <c r="V8" s="89"/>
      <c r="W8" s="89"/>
      <c r="X8" s="89"/>
      <c r="Y8" s="89"/>
      <c r="Z8" s="89"/>
      <c r="AA8" s="89"/>
      <c r="AB8" s="89"/>
      <c r="AC8" s="89"/>
      <c r="AD8" s="89"/>
      <c r="AE8" s="89"/>
      <c r="AF8" s="89">
        <v>207</v>
      </c>
      <c r="AG8" s="89">
        <v>1</v>
      </c>
      <c r="AH8" s="89">
        <v>20</v>
      </c>
      <c r="AI8" s="89">
        <v>80</v>
      </c>
      <c r="AJ8" s="89">
        <v>3.5</v>
      </c>
      <c r="AK8" s="89">
        <v>0</v>
      </c>
      <c r="AL8" s="89">
        <v>0</v>
      </c>
      <c r="AM8" s="89">
        <v>0</v>
      </c>
      <c r="AN8" s="89">
        <v>15</v>
      </c>
      <c r="AO8" s="89">
        <v>7</v>
      </c>
      <c r="AP8" s="89">
        <v>170</v>
      </c>
      <c r="AQ8" s="89">
        <v>0</v>
      </c>
      <c r="AR8" s="89">
        <v>0</v>
      </c>
      <c r="AS8" s="89">
        <v>6</v>
      </c>
      <c r="AT8" s="89">
        <v>0.1</v>
      </c>
      <c r="AU8" s="89" t="s">
        <v>378</v>
      </c>
      <c r="AV8" s="89">
        <f>80*6</f>
        <v>480</v>
      </c>
      <c r="AW8" s="89" t="s">
        <v>358</v>
      </c>
      <c r="AX8" s="89"/>
      <c r="AY8" s="89" t="s">
        <v>359</v>
      </c>
      <c r="AZ8" s="89" t="s">
        <v>359</v>
      </c>
      <c r="BA8" s="89" t="s">
        <v>360</v>
      </c>
      <c r="BB8" s="89" t="s">
        <v>359</v>
      </c>
      <c r="BC8" s="89" t="s">
        <v>359</v>
      </c>
      <c r="BD8" s="89" t="s">
        <v>359</v>
      </c>
      <c r="BE8" s="89" t="s">
        <v>359</v>
      </c>
      <c r="BF8" s="89" t="s">
        <v>359</v>
      </c>
      <c r="BG8" s="89" t="s">
        <v>359</v>
      </c>
      <c r="BH8" s="89" t="s">
        <v>361</v>
      </c>
      <c r="BI8" s="89"/>
      <c r="BJ8" s="89"/>
      <c r="BK8" s="74">
        <v>45112.577766203707</v>
      </c>
      <c r="BL8" s="74">
        <v>45086.473611111112</v>
      </c>
      <c r="BM8" s="89" t="s">
        <v>385</v>
      </c>
      <c r="BN8" s="89" t="b">
        <v>0</v>
      </c>
      <c r="BO8" s="93"/>
    </row>
    <row r="9" spans="1:67">
      <c r="A9" s="100">
        <v>100012</v>
      </c>
      <c r="B9" s="89" t="s">
        <v>67</v>
      </c>
      <c r="C9" s="89" t="s">
        <v>63</v>
      </c>
      <c r="D9" s="89" t="s">
        <v>386</v>
      </c>
      <c r="E9" s="89" t="s">
        <v>364</v>
      </c>
      <c r="F9" s="89" t="s">
        <v>365</v>
      </c>
      <c r="G9" s="89" t="s">
        <v>366</v>
      </c>
      <c r="H9" s="89" t="s">
        <v>387</v>
      </c>
      <c r="I9" s="89" t="s">
        <v>388</v>
      </c>
      <c r="J9" s="89" t="s">
        <v>63</v>
      </c>
      <c r="K9" s="89" t="s">
        <v>370</v>
      </c>
      <c r="L9" s="89">
        <v>28</v>
      </c>
      <c r="M9" s="89" t="s">
        <v>353</v>
      </c>
      <c r="N9" s="89" t="s">
        <v>354</v>
      </c>
      <c r="O9" s="89">
        <v>28</v>
      </c>
      <c r="P9" s="89" t="s">
        <v>353</v>
      </c>
      <c r="Q9" s="89" t="s">
        <v>355</v>
      </c>
      <c r="R9" s="89" t="s">
        <v>371</v>
      </c>
      <c r="S9" s="89"/>
      <c r="T9" s="89"/>
      <c r="U9" s="93"/>
      <c r="V9" s="93"/>
      <c r="W9" s="93"/>
      <c r="X9" s="89"/>
      <c r="Y9" s="89"/>
      <c r="Z9" s="89"/>
      <c r="AA9" s="89"/>
      <c r="AB9" s="93"/>
      <c r="AC9" s="93"/>
      <c r="AD9" s="89"/>
      <c r="AE9" s="89"/>
      <c r="AF9" s="89">
        <v>200</v>
      </c>
      <c r="AG9" s="89">
        <v>1</v>
      </c>
      <c r="AH9" s="89">
        <v>20</v>
      </c>
      <c r="AI9" s="89">
        <v>90</v>
      </c>
      <c r="AJ9" s="89">
        <v>3.5</v>
      </c>
      <c r="AK9" s="89">
        <v>0</v>
      </c>
      <c r="AL9" s="89">
        <v>0</v>
      </c>
      <c r="AM9" s="89">
        <v>0</v>
      </c>
      <c r="AN9" s="89">
        <v>20</v>
      </c>
      <c r="AO9" s="89">
        <v>8</v>
      </c>
      <c r="AP9" s="89">
        <v>180</v>
      </c>
      <c r="AQ9" s="89">
        <v>0</v>
      </c>
      <c r="AR9" s="89">
        <v>0</v>
      </c>
      <c r="AS9" s="89">
        <v>6</v>
      </c>
      <c r="AT9" s="89">
        <v>0.1</v>
      </c>
      <c r="AU9" s="82" t="s">
        <v>502</v>
      </c>
      <c r="AV9" s="100">
        <f>80*6</f>
        <v>480</v>
      </c>
      <c r="AW9" s="89" t="s">
        <v>372</v>
      </c>
      <c r="AX9" s="89" t="s">
        <v>373</v>
      </c>
      <c r="AY9" s="89"/>
      <c r="AZ9" s="89"/>
      <c r="BA9" s="89" t="s">
        <v>360</v>
      </c>
      <c r="BB9" s="89"/>
      <c r="BC9" s="89"/>
      <c r="BD9" s="89"/>
      <c r="BE9" s="89"/>
      <c r="BF9" s="89"/>
      <c r="BG9" s="89"/>
      <c r="BH9" s="89" t="s">
        <v>374</v>
      </c>
      <c r="BI9" s="89"/>
      <c r="BJ9" s="89"/>
      <c r="BK9" s="82" t="s">
        <v>1990</v>
      </c>
      <c r="BL9" s="82" t="s">
        <v>1994</v>
      </c>
      <c r="BM9" s="89" t="s">
        <v>389</v>
      </c>
      <c r="BN9" s="89" t="b">
        <v>0</v>
      </c>
      <c r="BO9" s="89"/>
    </row>
    <row r="10" spans="1:67">
      <c r="A10" s="100">
        <v>100017</v>
      </c>
      <c r="B10" s="89" t="s">
        <v>68</v>
      </c>
      <c r="C10" s="89" t="s">
        <v>63</v>
      </c>
      <c r="D10" s="89" t="s">
        <v>390</v>
      </c>
      <c r="E10" s="89" t="s">
        <v>391</v>
      </c>
      <c r="F10" s="89" t="s">
        <v>392</v>
      </c>
      <c r="G10" s="89" t="s">
        <v>392</v>
      </c>
      <c r="H10" s="89" t="s">
        <v>393</v>
      </c>
      <c r="I10" s="89" t="s">
        <v>394</v>
      </c>
      <c r="J10" s="89" t="s">
        <v>395</v>
      </c>
      <c r="K10" s="89" t="s">
        <v>370</v>
      </c>
      <c r="L10" s="89">
        <v>28.35</v>
      </c>
      <c r="M10" s="89" t="s">
        <v>353</v>
      </c>
      <c r="N10" s="89" t="s">
        <v>354</v>
      </c>
      <c r="O10" s="89"/>
      <c r="P10" s="89"/>
      <c r="Q10" s="89" t="s">
        <v>396</v>
      </c>
      <c r="R10" s="89" t="s">
        <v>356</v>
      </c>
      <c r="S10" s="103" t="s">
        <v>397</v>
      </c>
      <c r="T10" s="89"/>
      <c r="U10" s="93"/>
      <c r="V10" s="93"/>
      <c r="W10" s="93"/>
      <c r="X10" s="89"/>
      <c r="Y10" s="89"/>
      <c r="Z10" s="89"/>
      <c r="AA10" s="89"/>
      <c r="AB10" s="93"/>
      <c r="AC10" s="93"/>
      <c r="AD10" s="89"/>
      <c r="AE10" s="105" t="s">
        <v>398</v>
      </c>
      <c r="AF10" s="89">
        <v>167</v>
      </c>
      <c r="AG10" s="89">
        <v>2</v>
      </c>
      <c r="AH10" s="89">
        <v>25</v>
      </c>
      <c r="AI10" s="89">
        <v>100</v>
      </c>
      <c r="AJ10" s="89">
        <v>5</v>
      </c>
      <c r="AK10" s="89">
        <v>0</v>
      </c>
      <c r="AL10" s="89">
        <v>0</v>
      </c>
      <c r="AM10" s="89">
        <v>0</v>
      </c>
      <c r="AN10" s="89">
        <v>194</v>
      </c>
      <c r="AO10" s="89">
        <v>5</v>
      </c>
      <c r="AP10" s="89">
        <v>230</v>
      </c>
      <c r="AQ10" s="89">
        <v>2</v>
      </c>
      <c r="AR10" s="89">
        <v>0</v>
      </c>
      <c r="AS10" s="89">
        <v>9</v>
      </c>
      <c r="AT10" s="89">
        <v>0</v>
      </c>
      <c r="AU10" s="89"/>
      <c r="AV10" s="89" t="s">
        <v>399</v>
      </c>
      <c r="AW10" s="89" t="s">
        <v>358</v>
      </c>
      <c r="AX10" s="89" t="s">
        <v>373</v>
      </c>
      <c r="AY10" s="89" t="s">
        <v>359</v>
      </c>
      <c r="AZ10" s="89" t="s">
        <v>359</v>
      </c>
      <c r="BA10" s="89" t="s">
        <v>360</v>
      </c>
      <c r="BB10" s="89" t="s">
        <v>359</v>
      </c>
      <c r="BC10" s="89" t="s">
        <v>359</v>
      </c>
      <c r="BD10" s="89" t="s">
        <v>359</v>
      </c>
      <c r="BE10" s="89" t="s">
        <v>359</v>
      </c>
      <c r="BF10" s="89" t="s">
        <v>359</v>
      </c>
      <c r="BG10" s="89" t="s">
        <v>359</v>
      </c>
      <c r="BH10" s="89" t="s">
        <v>400</v>
      </c>
      <c r="BI10" s="89"/>
      <c r="BJ10" s="89"/>
      <c r="BK10" s="82" t="s">
        <v>2008</v>
      </c>
      <c r="BL10" s="82" t="s">
        <v>2009</v>
      </c>
      <c r="BM10" s="89" t="s">
        <v>401</v>
      </c>
      <c r="BN10" s="89" t="b">
        <v>0</v>
      </c>
      <c r="BO10" s="89"/>
    </row>
    <row r="11" spans="1:67">
      <c r="A11" s="100">
        <v>100018</v>
      </c>
      <c r="B11" s="89" t="s">
        <v>70</v>
      </c>
      <c r="C11" s="89" t="s">
        <v>63</v>
      </c>
      <c r="D11" s="89" t="s">
        <v>402</v>
      </c>
      <c r="E11" s="89" t="s">
        <v>391</v>
      </c>
      <c r="F11" s="89" t="s">
        <v>392</v>
      </c>
      <c r="G11" s="89" t="s">
        <v>392</v>
      </c>
      <c r="H11" s="89" t="s">
        <v>403</v>
      </c>
      <c r="I11" s="89" t="s">
        <v>404</v>
      </c>
      <c r="J11" s="89" t="s">
        <v>395</v>
      </c>
      <c r="K11" s="89" t="s">
        <v>370</v>
      </c>
      <c r="L11" s="89">
        <v>28</v>
      </c>
      <c r="M11" s="89" t="s">
        <v>353</v>
      </c>
      <c r="N11" s="89" t="s">
        <v>354</v>
      </c>
      <c r="O11" s="89"/>
      <c r="P11" s="89"/>
      <c r="Q11" s="89" t="s">
        <v>405</v>
      </c>
      <c r="R11" s="89" t="s">
        <v>356</v>
      </c>
      <c r="S11" s="89"/>
      <c r="T11" s="89"/>
      <c r="U11" s="93"/>
      <c r="V11" s="93"/>
      <c r="W11" s="93"/>
      <c r="X11" s="89"/>
      <c r="Y11" s="89"/>
      <c r="Z11" s="89"/>
      <c r="AA11" s="89"/>
      <c r="AB11" s="93"/>
      <c r="AC11" s="93"/>
      <c r="AD11" s="89"/>
      <c r="AE11" s="89"/>
      <c r="AF11" s="89">
        <v>160</v>
      </c>
      <c r="AG11" s="89">
        <v>2</v>
      </c>
      <c r="AH11" s="89">
        <v>25</v>
      </c>
      <c r="AI11" s="89">
        <v>100</v>
      </c>
      <c r="AJ11" s="89">
        <v>5</v>
      </c>
      <c r="AK11" s="89">
        <v>0</v>
      </c>
      <c r="AL11" s="89">
        <v>0</v>
      </c>
      <c r="AM11" s="89">
        <v>0</v>
      </c>
      <c r="AN11" s="89">
        <v>160</v>
      </c>
      <c r="AO11" s="89">
        <v>5</v>
      </c>
      <c r="AP11" s="89">
        <v>260</v>
      </c>
      <c r="AQ11" s="89">
        <v>1</v>
      </c>
      <c r="AR11" s="89">
        <v>0</v>
      </c>
      <c r="AS11" s="89">
        <v>9</v>
      </c>
      <c r="AT11" s="89">
        <v>0</v>
      </c>
      <c r="AU11" s="89"/>
      <c r="AV11" s="89" t="s">
        <v>399</v>
      </c>
      <c r="AW11" s="89" t="s">
        <v>358</v>
      </c>
      <c r="AX11" s="100" t="b">
        <v>1</v>
      </c>
      <c r="AY11" s="89" t="s">
        <v>359</v>
      </c>
      <c r="AZ11" s="89" t="s">
        <v>359</v>
      </c>
      <c r="BA11" s="89" t="s">
        <v>360</v>
      </c>
      <c r="BB11" s="89" t="s">
        <v>359</v>
      </c>
      <c r="BC11" s="89" t="s">
        <v>359</v>
      </c>
      <c r="BD11" s="89" t="s">
        <v>359</v>
      </c>
      <c r="BE11" s="89" t="s">
        <v>360</v>
      </c>
      <c r="BF11" s="89" t="s">
        <v>359</v>
      </c>
      <c r="BG11" s="89" t="s">
        <v>359</v>
      </c>
      <c r="BH11" s="100" t="s">
        <v>400</v>
      </c>
      <c r="BI11" s="89"/>
      <c r="BJ11" s="89"/>
      <c r="BK11" s="82" t="s">
        <v>2008</v>
      </c>
      <c r="BL11" s="82" t="s">
        <v>2010</v>
      </c>
      <c r="BM11" s="89" t="s">
        <v>406</v>
      </c>
      <c r="BN11" s="89" t="b">
        <v>0</v>
      </c>
      <c r="BO11" s="93"/>
    </row>
    <row r="12" spans="1:67">
      <c r="A12" s="100">
        <v>100021</v>
      </c>
      <c r="B12" s="89" t="s">
        <v>72</v>
      </c>
      <c r="C12" s="89" t="s">
        <v>63</v>
      </c>
      <c r="D12" s="89" t="s">
        <v>407</v>
      </c>
      <c r="E12" s="89" t="s">
        <v>408</v>
      </c>
      <c r="F12" s="89" t="s">
        <v>409</v>
      </c>
      <c r="G12" s="89" t="s">
        <v>409</v>
      </c>
      <c r="H12" s="89" t="s">
        <v>410</v>
      </c>
      <c r="I12" s="89" t="s">
        <v>411</v>
      </c>
      <c r="J12" s="89" t="s">
        <v>412</v>
      </c>
      <c r="K12" s="89"/>
      <c r="L12" s="89">
        <v>28</v>
      </c>
      <c r="M12" s="89" t="s">
        <v>353</v>
      </c>
      <c r="N12" s="89" t="s">
        <v>354</v>
      </c>
      <c r="O12" s="89">
        <v>28</v>
      </c>
      <c r="P12" s="89" t="s">
        <v>353</v>
      </c>
      <c r="Q12" s="89" t="s">
        <v>355</v>
      </c>
      <c r="R12" s="89" t="s">
        <v>371</v>
      </c>
      <c r="S12" s="89"/>
      <c r="T12" s="89"/>
      <c r="U12" s="93"/>
      <c r="V12" s="93"/>
      <c r="W12" s="93"/>
      <c r="X12" s="89"/>
      <c r="Y12" s="89"/>
      <c r="Z12" s="89"/>
      <c r="AA12" s="89"/>
      <c r="AB12" s="93"/>
      <c r="AC12" s="93"/>
      <c r="AD12" s="89"/>
      <c r="AE12" s="89"/>
      <c r="AF12" s="89">
        <v>190</v>
      </c>
      <c r="AG12" s="89">
        <v>2</v>
      </c>
      <c r="AH12" s="89">
        <v>15</v>
      </c>
      <c r="AI12" s="89">
        <v>80</v>
      </c>
      <c r="AJ12" s="89">
        <v>3</v>
      </c>
      <c r="AK12" s="89">
        <v>0</v>
      </c>
      <c r="AL12" s="89">
        <v>1</v>
      </c>
      <c r="AM12" s="89">
        <v>0</v>
      </c>
      <c r="AN12" s="89">
        <v>0</v>
      </c>
      <c r="AO12" s="89">
        <v>7</v>
      </c>
      <c r="AP12" s="89">
        <v>160</v>
      </c>
      <c r="AQ12" s="89">
        <v>0</v>
      </c>
      <c r="AR12" s="89">
        <v>0</v>
      </c>
      <c r="AS12" s="89">
        <v>5</v>
      </c>
      <c r="AT12" s="89">
        <v>0</v>
      </c>
      <c r="AU12" s="89" t="s">
        <v>357</v>
      </c>
      <c r="AV12" s="100">
        <v>480</v>
      </c>
      <c r="AW12" s="89" t="s">
        <v>358</v>
      </c>
      <c r="AX12" s="89"/>
      <c r="AY12" s="89" t="s">
        <v>359</v>
      </c>
      <c r="AZ12" s="89" t="s">
        <v>359</v>
      </c>
      <c r="BA12" s="89" t="s">
        <v>360</v>
      </c>
      <c r="BB12" s="89" t="s">
        <v>359</v>
      </c>
      <c r="BC12" s="89" t="s">
        <v>359</v>
      </c>
      <c r="BD12" s="89" t="s">
        <v>359</v>
      </c>
      <c r="BE12" s="89" t="s">
        <v>359</v>
      </c>
      <c r="BF12" s="89" t="s">
        <v>359</v>
      </c>
      <c r="BG12" s="89" t="s">
        <v>359</v>
      </c>
      <c r="BH12" s="89" t="s">
        <v>413</v>
      </c>
      <c r="BI12" s="89"/>
      <c r="BJ12" s="89"/>
      <c r="BK12" s="74">
        <v>45293.452557870369</v>
      </c>
      <c r="BL12" s="74">
        <v>45280.310416666667</v>
      </c>
      <c r="BM12" s="89" t="s">
        <v>414</v>
      </c>
      <c r="BN12" s="89" t="b">
        <v>0</v>
      </c>
      <c r="BO12" s="93"/>
    </row>
    <row r="13" spans="1:67">
      <c r="A13" s="100">
        <v>100022</v>
      </c>
      <c r="B13" s="89" t="s">
        <v>74</v>
      </c>
      <c r="C13" s="89" t="s">
        <v>63</v>
      </c>
      <c r="D13" s="89" t="s">
        <v>415</v>
      </c>
      <c r="E13" s="89" t="s">
        <v>416</v>
      </c>
      <c r="F13" s="89" t="s">
        <v>417</v>
      </c>
      <c r="G13" s="89" t="s">
        <v>417</v>
      </c>
      <c r="H13" s="89" t="s">
        <v>418</v>
      </c>
      <c r="I13" s="89" t="s">
        <v>418</v>
      </c>
      <c r="J13" s="89" t="s">
        <v>418</v>
      </c>
      <c r="K13" s="89" t="s">
        <v>370</v>
      </c>
      <c r="L13" s="89">
        <v>28</v>
      </c>
      <c r="M13" s="89" t="s">
        <v>353</v>
      </c>
      <c r="N13" s="89" t="s">
        <v>419</v>
      </c>
      <c r="O13" s="89">
        <v>28</v>
      </c>
      <c r="P13" s="89" t="s">
        <v>353</v>
      </c>
      <c r="Q13" s="89" t="s">
        <v>396</v>
      </c>
      <c r="R13" s="89" t="s">
        <v>356</v>
      </c>
      <c r="S13" s="89"/>
      <c r="T13" s="89"/>
      <c r="U13" s="93"/>
      <c r="V13" s="93"/>
      <c r="W13" s="93"/>
      <c r="X13" s="89"/>
      <c r="Y13" s="89"/>
      <c r="Z13" s="89"/>
      <c r="AA13" s="89"/>
      <c r="AB13" s="93"/>
      <c r="AC13" s="93"/>
      <c r="AD13" s="89"/>
      <c r="AE13" s="89"/>
      <c r="AF13" s="89">
        <v>195</v>
      </c>
      <c r="AG13" s="89">
        <v>2</v>
      </c>
      <c r="AH13" s="89">
        <v>16</v>
      </c>
      <c r="AI13" s="89">
        <v>83</v>
      </c>
      <c r="AJ13" s="89">
        <v>3</v>
      </c>
      <c r="AK13" s="89">
        <v>0</v>
      </c>
      <c r="AL13" s="89">
        <v>0</v>
      </c>
      <c r="AM13" s="89">
        <v>0</v>
      </c>
      <c r="AN13" s="89">
        <v>0</v>
      </c>
      <c r="AO13" s="89">
        <v>7</v>
      </c>
      <c r="AP13" s="89">
        <v>168</v>
      </c>
      <c r="AQ13" s="89">
        <v>1</v>
      </c>
      <c r="AR13" s="89">
        <v>0</v>
      </c>
      <c r="AS13" s="89">
        <v>6</v>
      </c>
      <c r="AT13" s="89">
        <v>0</v>
      </c>
      <c r="AU13" s="89"/>
      <c r="AV13" s="100">
        <v>768</v>
      </c>
      <c r="AW13" s="89" t="s">
        <v>372</v>
      </c>
      <c r="AX13" s="89"/>
      <c r="AY13" s="89" t="s">
        <v>359</v>
      </c>
      <c r="AZ13" s="89" t="s">
        <v>359</v>
      </c>
      <c r="BA13" s="89" t="s">
        <v>360</v>
      </c>
      <c r="BB13" s="89" t="s">
        <v>359</v>
      </c>
      <c r="BC13" s="89"/>
      <c r="BD13" s="89" t="s">
        <v>359</v>
      </c>
      <c r="BE13" s="89" t="s">
        <v>359</v>
      </c>
      <c r="BF13" s="89" t="s">
        <v>359</v>
      </c>
      <c r="BG13" s="89" t="s">
        <v>359</v>
      </c>
      <c r="BH13" s="89" t="s">
        <v>420</v>
      </c>
      <c r="BI13" s="89"/>
      <c r="BJ13" s="89"/>
      <c r="BK13" s="74">
        <v>44823.223379629628</v>
      </c>
      <c r="BL13" s="74">
        <v>44687.637037037042</v>
      </c>
      <c r="BM13" s="89" t="s">
        <v>421</v>
      </c>
      <c r="BN13" s="89" t="b">
        <v>1</v>
      </c>
      <c r="BO13" s="89"/>
    </row>
    <row r="14" spans="1:67">
      <c r="A14" s="100">
        <v>100022</v>
      </c>
      <c r="B14" s="89" t="s">
        <v>74</v>
      </c>
      <c r="C14" s="89" t="s">
        <v>63</v>
      </c>
      <c r="D14" s="89" t="s">
        <v>422</v>
      </c>
      <c r="E14" s="89" t="s">
        <v>408</v>
      </c>
      <c r="F14" s="89" t="s">
        <v>409</v>
      </c>
      <c r="G14" s="89" t="s">
        <v>409</v>
      </c>
      <c r="H14" s="89" t="s">
        <v>410</v>
      </c>
      <c r="I14" s="89" t="s">
        <v>423</v>
      </c>
      <c r="J14" s="89" t="s">
        <v>424</v>
      </c>
      <c r="K14" s="89"/>
      <c r="L14" s="89">
        <v>28</v>
      </c>
      <c r="M14" s="89" t="s">
        <v>353</v>
      </c>
      <c r="N14" s="89" t="s">
        <v>354</v>
      </c>
      <c r="O14" s="89">
        <v>28</v>
      </c>
      <c r="P14" s="89" t="s">
        <v>353</v>
      </c>
      <c r="Q14" s="89" t="s">
        <v>396</v>
      </c>
      <c r="R14" s="89" t="s">
        <v>371</v>
      </c>
      <c r="S14" s="89"/>
      <c r="T14" s="89"/>
      <c r="U14" s="93"/>
      <c r="V14" s="93"/>
      <c r="W14" s="93"/>
      <c r="X14" s="89"/>
      <c r="Y14" s="89"/>
      <c r="Z14" s="89"/>
      <c r="AA14" s="89"/>
      <c r="AB14" s="93"/>
      <c r="AC14" s="93"/>
      <c r="AD14" s="89"/>
      <c r="AE14" s="89"/>
      <c r="AF14" s="89">
        <v>200</v>
      </c>
      <c r="AG14" s="89">
        <v>1</v>
      </c>
      <c r="AH14" s="89">
        <v>20</v>
      </c>
      <c r="AI14" s="89">
        <v>80</v>
      </c>
      <c r="AJ14" s="89">
        <v>3</v>
      </c>
      <c r="AK14" s="89">
        <v>0</v>
      </c>
      <c r="AL14" s="89">
        <v>0</v>
      </c>
      <c r="AM14" s="89">
        <v>0</v>
      </c>
      <c r="AN14" s="89">
        <v>0</v>
      </c>
      <c r="AO14" s="89">
        <v>7</v>
      </c>
      <c r="AP14" s="89">
        <v>170</v>
      </c>
      <c r="AQ14" s="89">
        <v>0</v>
      </c>
      <c r="AR14" s="89">
        <v>0</v>
      </c>
      <c r="AS14" s="89">
        <v>5</v>
      </c>
      <c r="AT14" s="89">
        <v>0</v>
      </c>
      <c r="AU14" s="89" t="s">
        <v>357</v>
      </c>
      <c r="AV14" s="100">
        <v>768</v>
      </c>
      <c r="AW14" s="89" t="s">
        <v>358</v>
      </c>
      <c r="AX14" s="89"/>
      <c r="AY14" s="89" t="s">
        <v>359</v>
      </c>
      <c r="AZ14" s="89" t="s">
        <v>359</v>
      </c>
      <c r="BA14" s="89" t="s">
        <v>360</v>
      </c>
      <c r="BB14" s="89" t="s">
        <v>359</v>
      </c>
      <c r="BC14" s="89" t="s">
        <v>359</v>
      </c>
      <c r="BD14" s="89" t="s">
        <v>359</v>
      </c>
      <c r="BE14" s="89" t="s">
        <v>359</v>
      </c>
      <c r="BF14" s="89" t="s">
        <v>359</v>
      </c>
      <c r="BG14" s="89" t="s">
        <v>359</v>
      </c>
      <c r="BH14" s="89" t="s">
        <v>425</v>
      </c>
      <c r="BI14" s="89"/>
      <c r="BJ14" s="89"/>
      <c r="BK14" s="74">
        <v>45293.436284722222</v>
      </c>
      <c r="BL14" s="74">
        <v>45280.310416666667</v>
      </c>
      <c r="BM14" s="89" t="s">
        <v>426</v>
      </c>
      <c r="BN14" s="89" t="b">
        <v>0</v>
      </c>
      <c r="BO14" s="89"/>
    </row>
    <row r="15" spans="1:67" ht="28.8">
      <c r="A15" s="100">
        <v>100036</v>
      </c>
      <c r="B15" s="89" t="s">
        <v>77</v>
      </c>
      <c r="C15" s="89" t="s">
        <v>63</v>
      </c>
      <c r="D15" s="89" t="s">
        <v>427</v>
      </c>
      <c r="E15" s="89" t="s">
        <v>428</v>
      </c>
      <c r="F15" s="89" t="s">
        <v>429</v>
      </c>
      <c r="G15" s="89" t="s">
        <v>429</v>
      </c>
      <c r="H15" s="89" t="s">
        <v>430</v>
      </c>
      <c r="I15" s="89" t="s">
        <v>431</v>
      </c>
      <c r="J15" s="89" t="s">
        <v>63</v>
      </c>
      <c r="K15" s="89"/>
      <c r="L15" s="89">
        <v>28</v>
      </c>
      <c r="M15" s="89" t="s">
        <v>353</v>
      </c>
      <c r="N15" s="89" t="s">
        <v>354</v>
      </c>
      <c r="O15" s="89">
        <v>28</v>
      </c>
      <c r="P15" s="89" t="s">
        <v>353</v>
      </c>
      <c r="Q15" s="89" t="s">
        <v>405</v>
      </c>
      <c r="R15" s="89" t="s">
        <v>356</v>
      </c>
      <c r="S15" s="89"/>
      <c r="T15" s="89">
        <v>0</v>
      </c>
      <c r="U15" s="93" t="s">
        <v>432</v>
      </c>
      <c r="V15" s="93" t="s">
        <v>433</v>
      </c>
      <c r="W15" s="93"/>
      <c r="X15" s="89" t="s">
        <v>434</v>
      </c>
      <c r="Y15" s="89"/>
      <c r="Z15" s="89"/>
      <c r="AA15" s="89"/>
      <c r="AB15" s="93"/>
      <c r="AC15" s="93"/>
      <c r="AD15" s="89"/>
      <c r="AE15" s="89"/>
      <c r="AF15" s="89">
        <v>181</v>
      </c>
      <c r="AG15" s="89">
        <v>2</v>
      </c>
      <c r="AH15" s="89">
        <v>15</v>
      </c>
      <c r="AI15" s="89">
        <v>80</v>
      </c>
      <c r="AJ15" s="89">
        <v>3.5</v>
      </c>
      <c r="AK15" s="89">
        <v>0</v>
      </c>
      <c r="AL15" s="89">
        <v>0</v>
      </c>
      <c r="AM15" s="89">
        <v>0</v>
      </c>
      <c r="AN15" s="89">
        <v>92</v>
      </c>
      <c r="AO15" s="89">
        <v>6</v>
      </c>
      <c r="AP15" s="89">
        <v>290</v>
      </c>
      <c r="AQ15" s="89">
        <v>1</v>
      </c>
      <c r="AR15" s="89"/>
      <c r="AS15" s="89">
        <v>5</v>
      </c>
      <c r="AT15" s="89">
        <v>0</v>
      </c>
      <c r="AU15" s="89"/>
      <c r="AV15" s="100">
        <v>480</v>
      </c>
      <c r="AW15" s="89" t="s">
        <v>358</v>
      </c>
      <c r="AX15" s="89"/>
      <c r="AY15" s="89" t="s">
        <v>359</v>
      </c>
      <c r="AZ15" s="89" t="s">
        <v>359</v>
      </c>
      <c r="BA15" s="89" t="s">
        <v>360</v>
      </c>
      <c r="BB15" s="89" t="s">
        <v>359</v>
      </c>
      <c r="BC15" s="89"/>
      <c r="BD15" s="89" t="s">
        <v>359</v>
      </c>
      <c r="BE15" s="89" t="s">
        <v>359</v>
      </c>
      <c r="BF15" s="89" t="s">
        <v>359</v>
      </c>
      <c r="BG15" s="89" t="s">
        <v>359</v>
      </c>
      <c r="BH15" s="89" t="s">
        <v>435</v>
      </c>
      <c r="BI15" s="89"/>
      <c r="BJ15" s="89"/>
      <c r="BK15" s="74">
        <v>44823.234409722223</v>
      </c>
      <c r="BL15" s="74">
        <v>44811.630671296298</v>
      </c>
      <c r="BM15" s="89" t="s">
        <v>436</v>
      </c>
      <c r="BN15" s="89" t="b">
        <v>0</v>
      </c>
      <c r="BO15" s="89"/>
    </row>
    <row r="16" spans="1:67">
      <c r="A16" s="100">
        <v>100036</v>
      </c>
      <c r="B16" s="89" t="s">
        <v>77</v>
      </c>
      <c r="C16" s="89" t="s">
        <v>63</v>
      </c>
      <c r="D16" s="89" t="s">
        <v>437</v>
      </c>
      <c r="E16" s="89" t="s">
        <v>391</v>
      </c>
      <c r="F16" s="89" t="s">
        <v>392</v>
      </c>
      <c r="G16" s="89" t="s">
        <v>392</v>
      </c>
      <c r="H16" s="89" t="s">
        <v>438</v>
      </c>
      <c r="I16" s="89" t="s">
        <v>439</v>
      </c>
      <c r="J16" s="89" t="s">
        <v>395</v>
      </c>
      <c r="K16" s="89" t="s">
        <v>370</v>
      </c>
      <c r="L16" s="89">
        <v>28</v>
      </c>
      <c r="M16" s="89" t="s">
        <v>353</v>
      </c>
      <c r="N16" s="89" t="s">
        <v>354</v>
      </c>
      <c r="O16" s="89"/>
      <c r="P16" s="89"/>
      <c r="Q16" s="89" t="s">
        <v>405</v>
      </c>
      <c r="R16" s="89" t="s">
        <v>356</v>
      </c>
      <c r="S16" s="89"/>
      <c r="T16" s="89"/>
      <c r="U16" s="93"/>
      <c r="V16" s="93"/>
      <c r="W16" s="93"/>
      <c r="X16" s="89"/>
      <c r="Y16" s="89"/>
      <c r="Z16" s="89"/>
      <c r="AA16" s="89"/>
      <c r="AB16" s="93"/>
      <c r="AC16" s="93"/>
      <c r="AD16" s="89"/>
      <c r="AE16" s="89"/>
      <c r="AF16" s="89">
        <v>141</v>
      </c>
      <c r="AG16" s="89">
        <v>4</v>
      </c>
      <c r="AH16" s="89">
        <v>15</v>
      </c>
      <c r="AI16" s="89">
        <v>70</v>
      </c>
      <c r="AJ16" s="89">
        <v>2.5</v>
      </c>
      <c r="AK16" s="89">
        <v>0</v>
      </c>
      <c r="AL16" s="89">
        <v>0</v>
      </c>
      <c r="AM16" s="89">
        <v>0</v>
      </c>
      <c r="AN16" s="89">
        <v>120</v>
      </c>
      <c r="AO16" s="89">
        <v>5</v>
      </c>
      <c r="AP16" s="89">
        <v>290</v>
      </c>
      <c r="AQ16" s="89">
        <v>2</v>
      </c>
      <c r="AR16" s="89">
        <v>0</v>
      </c>
      <c r="AS16" s="89">
        <v>4.5</v>
      </c>
      <c r="AT16" s="89">
        <v>0</v>
      </c>
      <c r="AU16" s="89"/>
      <c r="AV16" s="89" t="s">
        <v>399</v>
      </c>
      <c r="AW16" s="89" t="s">
        <v>358</v>
      </c>
      <c r="AX16" s="100" t="b">
        <v>1</v>
      </c>
      <c r="AY16" s="89" t="s">
        <v>359</v>
      </c>
      <c r="AZ16" s="89" t="s">
        <v>359</v>
      </c>
      <c r="BA16" s="89" t="s">
        <v>360</v>
      </c>
      <c r="BB16" s="89" t="s">
        <v>359</v>
      </c>
      <c r="BC16" s="89" t="s">
        <v>359</v>
      </c>
      <c r="BD16" s="89" t="s">
        <v>359</v>
      </c>
      <c r="BE16" s="89" t="s">
        <v>360</v>
      </c>
      <c r="BF16" s="89" t="s">
        <v>359</v>
      </c>
      <c r="BG16" s="89" t="s">
        <v>359</v>
      </c>
      <c r="BH16" s="89" t="s">
        <v>400</v>
      </c>
      <c r="BI16" s="89"/>
      <c r="BJ16" s="89"/>
      <c r="BK16" s="82" t="s">
        <v>2008</v>
      </c>
      <c r="BL16" s="82" t="s">
        <v>2010</v>
      </c>
      <c r="BM16" s="89" t="s">
        <v>440</v>
      </c>
      <c r="BN16" s="89" t="b">
        <v>0</v>
      </c>
      <c r="BO16" s="89"/>
    </row>
    <row r="17" spans="1:67">
      <c r="A17" s="100">
        <v>100036</v>
      </c>
      <c r="B17" s="89" t="s">
        <v>77</v>
      </c>
      <c r="C17" s="89" t="s">
        <v>63</v>
      </c>
      <c r="D17" s="89" t="s">
        <v>441</v>
      </c>
      <c r="E17" s="89" t="s">
        <v>391</v>
      </c>
      <c r="F17" s="89" t="s">
        <v>392</v>
      </c>
      <c r="G17" s="89" t="s">
        <v>392</v>
      </c>
      <c r="H17" s="89" t="s">
        <v>438</v>
      </c>
      <c r="I17" s="89" t="s">
        <v>439</v>
      </c>
      <c r="J17" s="89" t="s">
        <v>395</v>
      </c>
      <c r="K17" s="89" t="s">
        <v>370</v>
      </c>
      <c r="L17" s="89">
        <v>28</v>
      </c>
      <c r="M17" s="89" t="s">
        <v>353</v>
      </c>
      <c r="N17" s="89" t="s">
        <v>354</v>
      </c>
      <c r="O17" s="89"/>
      <c r="P17" s="89"/>
      <c r="Q17" s="89" t="s">
        <v>405</v>
      </c>
      <c r="R17" s="89" t="s">
        <v>356</v>
      </c>
      <c r="S17" s="103" t="s">
        <v>397</v>
      </c>
      <c r="T17" s="89"/>
      <c r="U17" s="93"/>
      <c r="V17" s="93"/>
      <c r="W17" s="93"/>
      <c r="X17" s="89"/>
      <c r="Y17" s="89"/>
      <c r="Z17" s="89"/>
      <c r="AA17" s="89"/>
      <c r="AB17" s="93"/>
      <c r="AC17" s="93"/>
      <c r="AD17" s="89"/>
      <c r="AE17" s="103" t="s">
        <v>442</v>
      </c>
      <c r="AF17" s="89">
        <v>141</v>
      </c>
      <c r="AG17" s="89">
        <v>4</v>
      </c>
      <c r="AH17" s="89">
        <v>15</v>
      </c>
      <c r="AI17" s="89">
        <v>70</v>
      </c>
      <c r="AJ17" s="89">
        <v>2.5</v>
      </c>
      <c r="AK17" s="89">
        <v>0</v>
      </c>
      <c r="AL17" s="89">
        <v>0</v>
      </c>
      <c r="AM17" s="89">
        <v>0</v>
      </c>
      <c r="AN17" s="89">
        <v>120</v>
      </c>
      <c r="AO17" s="89">
        <v>5</v>
      </c>
      <c r="AP17" s="89">
        <v>290</v>
      </c>
      <c r="AQ17" s="89">
        <v>2</v>
      </c>
      <c r="AR17" s="89">
        <v>0</v>
      </c>
      <c r="AS17" s="89">
        <v>4.5</v>
      </c>
      <c r="AT17" s="89">
        <v>0</v>
      </c>
      <c r="AU17" s="89"/>
      <c r="AV17" s="89" t="s">
        <v>399</v>
      </c>
      <c r="AW17" s="89" t="s">
        <v>358</v>
      </c>
      <c r="AX17" s="100" t="b">
        <v>1</v>
      </c>
      <c r="AY17" s="89" t="s">
        <v>359</v>
      </c>
      <c r="AZ17" s="89" t="s">
        <v>359</v>
      </c>
      <c r="BA17" s="89" t="s">
        <v>360</v>
      </c>
      <c r="BB17" s="89" t="s">
        <v>359</v>
      </c>
      <c r="BC17" s="89" t="s">
        <v>359</v>
      </c>
      <c r="BD17" s="89" t="s">
        <v>359</v>
      </c>
      <c r="BE17" s="89" t="s">
        <v>359</v>
      </c>
      <c r="BF17" s="89" t="s">
        <v>359</v>
      </c>
      <c r="BG17" s="89" t="s">
        <v>359</v>
      </c>
      <c r="BH17" s="89" t="s">
        <v>400</v>
      </c>
      <c r="BI17" s="89"/>
      <c r="BJ17" s="89"/>
      <c r="BK17" s="74">
        <v>44958.423935185187</v>
      </c>
      <c r="BL17" s="74">
        <v>44952.724166666667</v>
      </c>
      <c r="BM17" s="89" t="s">
        <v>443</v>
      </c>
      <c r="BN17" s="89" t="b">
        <v>0</v>
      </c>
      <c r="BO17" s="89"/>
    </row>
    <row r="18" spans="1:67" ht="28.8">
      <c r="A18" s="100">
        <v>100037</v>
      </c>
      <c r="B18" s="89" t="s">
        <v>78</v>
      </c>
      <c r="C18" s="89" t="s">
        <v>63</v>
      </c>
      <c r="D18" s="89" t="s">
        <v>444</v>
      </c>
      <c r="E18" s="89" t="s">
        <v>428</v>
      </c>
      <c r="F18" s="89" t="s">
        <v>429</v>
      </c>
      <c r="G18" s="89" t="s">
        <v>429</v>
      </c>
      <c r="H18" s="89" t="s">
        <v>445</v>
      </c>
      <c r="I18" s="89" t="s">
        <v>446</v>
      </c>
      <c r="J18" s="89" t="s">
        <v>63</v>
      </c>
      <c r="K18" s="89"/>
      <c r="L18" s="89">
        <v>28</v>
      </c>
      <c r="M18" s="89" t="s">
        <v>353</v>
      </c>
      <c r="N18" s="89" t="s">
        <v>354</v>
      </c>
      <c r="O18" s="89">
        <v>28</v>
      </c>
      <c r="P18" s="89" t="s">
        <v>353</v>
      </c>
      <c r="Q18" s="89" t="s">
        <v>405</v>
      </c>
      <c r="R18" s="89" t="s">
        <v>356</v>
      </c>
      <c r="S18" s="89"/>
      <c r="T18" s="89">
        <v>0</v>
      </c>
      <c r="U18" s="93" t="s">
        <v>432</v>
      </c>
      <c r="V18" s="93" t="s">
        <v>433</v>
      </c>
      <c r="W18" s="93"/>
      <c r="X18" s="89" t="s">
        <v>447</v>
      </c>
      <c r="Y18" s="89"/>
      <c r="Z18" s="89"/>
      <c r="AA18" s="89"/>
      <c r="AB18" s="93"/>
      <c r="AC18" s="93"/>
      <c r="AD18" s="89"/>
      <c r="AE18" s="89"/>
      <c r="AF18" s="89">
        <v>181</v>
      </c>
      <c r="AG18" s="89">
        <v>2</v>
      </c>
      <c r="AH18" s="89">
        <v>15</v>
      </c>
      <c r="AI18" s="89">
        <v>80</v>
      </c>
      <c r="AJ18" s="89">
        <v>3.5</v>
      </c>
      <c r="AK18" s="89">
        <v>0</v>
      </c>
      <c r="AL18" s="89">
        <v>0</v>
      </c>
      <c r="AM18" s="89">
        <v>0</v>
      </c>
      <c r="AN18" s="89">
        <v>92</v>
      </c>
      <c r="AO18" s="89">
        <v>6</v>
      </c>
      <c r="AP18" s="89">
        <v>290</v>
      </c>
      <c r="AQ18" s="89">
        <v>1</v>
      </c>
      <c r="AR18" s="89"/>
      <c r="AS18" s="89">
        <v>5</v>
      </c>
      <c r="AT18" s="89">
        <v>0</v>
      </c>
      <c r="AU18" s="89"/>
      <c r="AV18" s="100">
        <v>480</v>
      </c>
      <c r="AW18" s="89" t="s">
        <v>358</v>
      </c>
      <c r="AX18" s="89"/>
      <c r="AY18" s="89" t="s">
        <v>359</v>
      </c>
      <c r="AZ18" s="89" t="s">
        <v>359</v>
      </c>
      <c r="BA18" s="89" t="s">
        <v>360</v>
      </c>
      <c r="BB18" s="89" t="s">
        <v>359</v>
      </c>
      <c r="BC18" s="89"/>
      <c r="BD18" s="89" t="s">
        <v>359</v>
      </c>
      <c r="BE18" s="89" t="s">
        <v>359</v>
      </c>
      <c r="BF18" s="89" t="s">
        <v>359</v>
      </c>
      <c r="BG18" s="89" t="s">
        <v>359</v>
      </c>
      <c r="BH18" s="89" t="s">
        <v>435</v>
      </c>
      <c r="BI18" s="89"/>
      <c r="BJ18" s="89"/>
      <c r="BK18" s="74">
        <v>44823.23033564815</v>
      </c>
      <c r="BL18" s="74">
        <v>44811.630671296298</v>
      </c>
      <c r="BM18" s="89" t="s">
        <v>448</v>
      </c>
      <c r="BN18" s="89" t="b">
        <v>0</v>
      </c>
      <c r="BO18" s="89"/>
    </row>
    <row r="19" spans="1:67">
      <c r="A19" s="100">
        <v>100037</v>
      </c>
      <c r="B19" s="89" t="s">
        <v>78</v>
      </c>
      <c r="C19" s="89" t="s">
        <v>63</v>
      </c>
      <c r="D19" s="89" t="s">
        <v>449</v>
      </c>
      <c r="E19" s="89" t="s">
        <v>391</v>
      </c>
      <c r="F19" s="89" t="s">
        <v>392</v>
      </c>
      <c r="G19" s="89" t="s">
        <v>392</v>
      </c>
      <c r="H19" s="89" t="s">
        <v>450</v>
      </c>
      <c r="I19" s="89" t="s">
        <v>451</v>
      </c>
      <c r="J19" s="89" t="s">
        <v>395</v>
      </c>
      <c r="K19" s="89" t="s">
        <v>370</v>
      </c>
      <c r="L19" s="89">
        <v>28</v>
      </c>
      <c r="M19" s="89" t="s">
        <v>353</v>
      </c>
      <c r="N19" s="89" t="s">
        <v>354</v>
      </c>
      <c r="O19" s="89"/>
      <c r="P19" s="89"/>
      <c r="Q19" s="89" t="s">
        <v>405</v>
      </c>
      <c r="R19" s="89" t="s">
        <v>356</v>
      </c>
      <c r="S19" s="89"/>
      <c r="T19" s="89"/>
      <c r="U19" s="93"/>
      <c r="V19" s="93"/>
      <c r="W19" s="93"/>
      <c r="X19" s="89"/>
      <c r="Y19" s="89"/>
      <c r="Z19" s="89"/>
      <c r="AA19" s="89"/>
      <c r="AB19" s="93"/>
      <c r="AC19" s="93"/>
      <c r="AD19" s="89"/>
      <c r="AE19" s="105" t="s">
        <v>452</v>
      </c>
      <c r="AF19" s="89">
        <v>141</v>
      </c>
      <c r="AG19" s="89">
        <v>4</v>
      </c>
      <c r="AH19" s="89">
        <v>15</v>
      </c>
      <c r="AI19" s="89">
        <v>70</v>
      </c>
      <c r="AJ19" s="89">
        <v>2.5</v>
      </c>
      <c r="AK19" s="89">
        <v>0</v>
      </c>
      <c r="AL19" s="89">
        <v>0</v>
      </c>
      <c r="AM19" s="89">
        <v>0</v>
      </c>
      <c r="AN19" s="89">
        <v>120</v>
      </c>
      <c r="AO19" s="89">
        <v>5</v>
      </c>
      <c r="AP19" s="89">
        <v>290</v>
      </c>
      <c r="AQ19" s="89">
        <v>2</v>
      </c>
      <c r="AR19" s="89">
        <v>0</v>
      </c>
      <c r="AS19" s="89">
        <v>4.5</v>
      </c>
      <c r="AT19" s="89">
        <v>0</v>
      </c>
      <c r="AU19" s="89"/>
      <c r="AV19" s="89" t="s">
        <v>399</v>
      </c>
      <c r="AW19" s="89" t="s">
        <v>358</v>
      </c>
      <c r="AX19" s="89" t="s">
        <v>373</v>
      </c>
      <c r="AY19" s="89" t="s">
        <v>359</v>
      </c>
      <c r="AZ19" s="89" t="s">
        <v>359</v>
      </c>
      <c r="BA19" s="89" t="s">
        <v>360</v>
      </c>
      <c r="BB19" s="89" t="s">
        <v>359</v>
      </c>
      <c r="BC19" s="89" t="s">
        <v>359</v>
      </c>
      <c r="BD19" s="89" t="s">
        <v>359</v>
      </c>
      <c r="BE19" s="89" t="s">
        <v>359</v>
      </c>
      <c r="BF19" s="89" t="s">
        <v>359</v>
      </c>
      <c r="BG19" s="89" t="s">
        <v>359</v>
      </c>
      <c r="BH19" s="89" t="s">
        <v>400</v>
      </c>
      <c r="BI19" s="89"/>
      <c r="BJ19" s="89"/>
      <c r="BK19" s="74">
        <v>44958.385671296302</v>
      </c>
      <c r="BL19" s="74">
        <v>44952.724166666667</v>
      </c>
      <c r="BM19" s="89" t="s">
        <v>453</v>
      </c>
      <c r="BN19" s="89" t="b">
        <v>0</v>
      </c>
      <c r="BO19" s="89"/>
    </row>
    <row r="20" spans="1:67">
      <c r="A20" s="100">
        <v>100037</v>
      </c>
      <c r="B20" s="89" t="s">
        <v>78</v>
      </c>
      <c r="C20" s="89" t="s">
        <v>63</v>
      </c>
      <c r="D20" s="89" t="s">
        <v>454</v>
      </c>
      <c r="E20" s="89" t="s">
        <v>391</v>
      </c>
      <c r="F20" s="89" t="s">
        <v>392</v>
      </c>
      <c r="G20" s="89" t="s">
        <v>392</v>
      </c>
      <c r="H20" s="89" t="s">
        <v>450</v>
      </c>
      <c r="I20" s="89" t="s">
        <v>451</v>
      </c>
      <c r="J20" s="89" t="s">
        <v>395</v>
      </c>
      <c r="K20" s="89" t="s">
        <v>370</v>
      </c>
      <c r="L20" s="89">
        <v>28</v>
      </c>
      <c r="M20" s="89" t="s">
        <v>353</v>
      </c>
      <c r="N20" s="89" t="s">
        <v>354</v>
      </c>
      <c r="O20" s="89"/>
      <c r="P20" s="89"/>
      <c r="Q20" s="89" t="s">
        <v>405</v>
      </c>
      <c r="R20" s="89" t="s">
        <v>356</v>
      </c>
      <c r="S20" s="89"/>
      <c r="T20" s="89"/>
      <c r="U20" s="93"/>
      <c r="V20" s="93"/>
      <c r="W20" s="93"/>
      <c r="X20" s="89"/>
      <c r="Y20" s="89"/>
      <c r="Z20" s="89"/>
      <c r="AA20" s="89"/>
      <c r="AB20" s="93"/>
      <c r="AC20" s="93"/>
      <c r="AD20" s="89"/>
      <c r="AE20" s="89"/>
      <c r="AF20" s="89">
        <v>141</v>
      </c>
      <c r="AG20" s="89">
        <v>4</v>
      </c>
      <c r="AH20" s="89">
        <v>15</v>
      </c>
      <c r="AI20" s="89">
        <v>70</v>
      </c>
      <c r="AJ20" s="89">
        <v>2.5</v>
      </c>
      <c r="AK20" s="89">
        <v>0</v>
      </c>
      <c r="AL20" s="89">
        <v>0</v>
      </c>
      <c r="AM20" s="89">
        <v>0</v>
      </c>
      <c r="AN20" s="89">
        <v>120</v>
      </c>
      <c r="AO20" s="89">
        <v>5</v>
      </c>
      <c r="AP20" s="89">
        <v>290</v>
      </c>
      <c r="AQ20" s="89">
        <v>2</v>
      </c>
      <c r="AR20" s="89">
        <v>0</v>
      </c>
      <c r="AS20" s="89">
        <v>4.5</v>
      </c>
      <c r="AT20" s="89">
        <v>0</v>
      </c>
      <c r="AU20" s="89"/>
      <c r="AV20" s="89" t="s">
        <v>399</v>
      </c>
      <c r="AW20" s="89" t="s">
        <v>358</v>
      </c>
      <c r="AX20" s="89" t="s">
        <v>373</v>
      </c>
      <c r="AY20" s="89" t="s">
        <v>359</v>
      </c>
      <c r="AZ20" s="89" t="s">
        <v>359</v>
      </c>
      <c r="BA20" s="89" t="s">
        <v>360</v>
      </c>
      <c r="BB20" s="89" t="s">
        <v>359</v>
      </c>
      <c r="BC20" s="89" t="s">
        <v>359</v>
      </c>
      <c r="BD20" s="89" t="s">
        <v>359</v>
      </c>
      <c r="BE20" s="89" t="s">
        <v>360</v>
      </c>
      <c r="BF20" s="89" t="s">
        <v>359</v>
      </c>
      <c r="BG20" s="89" t="s">
        <v>359</v>
      </c>
      <c r="BH20" s="89" t="s">
        <v>400</v>
      </c>
      <c r="BI20" s="89"/>
      <c r="BJ20" s="89"/>
      <c r="BK20" s="82" t="s">
        <v>2008</v>
      </c>
      <c r="BL20" s="82" t="s">
        <v>2010</v>
      </c>
      <c r="BM20" s="89" t="s">
        <v>455</v>
      </c>
      <c r="BN20" s="89" t="b">
        <v>0</v>
      </c>
      <c r="BO20" s="94"/>
    </row>
    <row r="21" spans="1:67">
      <c r="A21" s="82">
        <v>100046</v>
      </c>
      <c r="B21" s="83" t="s">
        <v>86</v>
      </c>
      <c r="C21" s="83" t="s">
        <v>85</v>
      </c>
      <c r="D21" s="82" t="s">
        <v>1906</v>
      </c>
      <c r="E21" s="82" t="s">
        <v>1907</v>
      </c>
      <c r="F21" s="82" t="s">
        <v>1834</v>
      </c>
      <c r="G21" s="82" t="s">
        <v>1834</v>
      </c>
      <c r="H21" s="82" t="s">
        <v>1908</v>
      </c>
      <c r="I21" s="82" t="s">
        <v>1837</v>
      </c>
      <c r="J21" s="82" t="s">
        <v>1837</v>
      </c>
      <c r="K21" s="82"/>
      <c r="L21" s="82">
        <v>47</v>
      </c>
      <c r="M21" s="82" t="s">
        <v>353</v>
      </c>
      <c r="N21" s="82" t="s">
        <v>354</v>
      </c>
      <c r="O21" s="82">
        <v>47</v>
      </c>
      <c r="P21" s="82" t="s">
        <v>353</v>
      </c>
      <c r="Q21" s="82" t="s">
        <v>461</v>
      </c>
      <c r="R21" s="82" t="s">
        <v>474</v>
      </c>
      <c r="S21" s="82"/>
      <c r="T21" s="82"/>
      <c r="U21" s="82"/>
      <c r="V21" s="82"/>
      <c r="W21" s="82"/>
      <c r="X21" s="82"/>
      <c r="Y21" s="82"/>
      <c r="Z21" s="82"/>
      <c r="AA21" s="82"/>
      <c r="AB21" s="82"/>
      <c r="AC21" s="82"/>
      <c r="AD21" s="82"/>
      <c r="AE21" s="82"/>
      <c r="AF21" s="82">
        <v>29</v>
      </c>
      <c r="AG21" s="82">
        <v>0</v>
      </c>
      <c r="AH21" s="82">
        <v>175</v>
      </c>
      <c r="AI21" s="82">
        <v>70</v>
      </c>
      <c r="AJ21" s="82">
        <v>1.5</v>
      </c>
      <c r="AK21" s="82">
        <v>0</v>
      </c>
      <c r="AL21" s="82">
        <v>0</v>
      </c>
      <c r="AM21" s="82">
        <v>0.81</v>
      </c>
      <c r="AN21" s="82">
        <v>61.95</v>
      </c>
      <c r="AO21" s="82">
        <v>5.8</v>
      </c>
      <c r="AP21" s="82">
        <v>65</v>
      </c>
      <c r="AQ21" s="82">
        <v>0</v>
      </c>
      <c r="AR21" s="82"/>
      <c r="AS21" s="82">
        <v>7.5</v>
      </c>
      <c r="AT21" s="82">
        <v>1.22</v>
      </c>
      <c r="AU21" s="82"/>
      <c r="AV21" s="82">
        <f>48*6</f>
        <v>288</v>
      </c>
      <c r="AW21" s="82" t="s">
        <v>358</v>
      </c>
      <c r="AX21" s="82"/>
      <c r="AY21" s="82" t="s">
        <v>360</v>
      </c>
      <c r="AZ21" s="82" t="s">
        <v>359</v>
      </c>
      <c r="BA21" s="82" t="s">
        <v>359</v>
      </c>
      <c r="BB21" s="82" t="s">
        <v>359</v>
      </c>
      <c r="BC21" s="82" t="s">
        <v>359</v>
      </c>
      <c r="BD21" s="82" t="s">
        <v>359</v>
      </c>
      <c r="BE21" s="82" t="s">
        <v>359</v>
      </c>
      <c r="BF21" s="82" t="s">
        <v>359</v>
      </c>
      <c r="BG21" s="82" t="s">
        <v>359</v>
      </c>
      <c r="BH21" s="82" t="s">
        <v>361</v>
      </c>
      <c r="BI21" s="82"/>
      <c r="BJ21" s="82"/>
      <c r="BK21" s="82" t="s">
        <v>1909</v>
      </c>
      <c r="BL21" s="82" t="s">
        <v>1910</v>
      </c>
      <c r="BM21" s="82" t="s">
        <v>1911</v>
      </c>
      <c r="BN21" s="82" t="b">
        <v>0</v>
      </c>
      <c r="BO21" s="89"/>
    </row>
    <row r="22" spans="1:67">
      <c r="A22" s="100">
        <v>100046</v>
      </c>
      <c r="B22" s="89" t="s">
        <v>86</v>
      </c>
      <c r="C22" s="89" t="s">
        <v>85</v>
      </c>
      <c r="D22" s="89" t="s">
        <v>456</v>
      </c>
      <c r="E22" s="89" t="s">
        <v>457</v>
      </c>
      <c r="F22" s="89" t="s">
        <v>458</v>
      </c>
      <c r="G22" s="89" t="s">
        <v>458</v>
      </c>
      <c r="H22" s="89" t="s">
        <v>459</v>
      </c>
      <c r="I22" s="89" t="s">
        <v>460</v>
      </c>
      <c r="J22" s="89" t="s">
        <v>333</v>
      </c>
      <c r="K22" s="89" t="s">
        <v>370</v>
      </c>
      <c r="L22" s="89">
        <v>50</v>
      </c>
      <c r="M22" s="89" t="s">
        <v>353</v>
      </c>
      <c r="N22" s="89" t="s">
        <v>354</v>
      </c>
      <c r="O22" s="89">
        <v>50</v>
      </c>
      <c r="P22" s="89" t="s">
        <v>353</v>
      </c>
      <c r="Q22" s="89" t="s">
        <v>461</v>
      </c>
      <c r="R22" s="89" t="s">
        <v>462</v>
      </c>
      <c r="S22" s="89"/>
      <c r="T22" s="89"/>
      <c r="U22" s="93"/>
      <c r="V22" s="93"/>
      <c r="W22" s="93"/>
      <c r="X22" s="89"/>
      <c r="Y22" s="89"/>
      <c r="Z22" s="89"/>
      <c r="AA22" s="89"/>
      <c r="AB22" s="93"/>
      <c r="AC22" s="93"/>
      <c r="AD22" s="89"/>
      <c r="AE22" s="89"/>
      <c r="AF22" s="89">
        <v>0</v>
      </c>
      <c r="AG22" s="89">
        <v>1</v>
      </c>
      <c r="AH22" s="89">
        <v>215</v>
      </c>
      <c r="AI22" s="89">
        <v>70</v>
      </c>
      <c r="AJ22" s="89">
        <v>1.5</v>
      </c>
      <c r="AK22" s="89"/>
      <c r="AL22" s="89">
        <v>0</v>
      </c>
      <c r="AM22" s="89">
        <v>0</v>
      </c>
      <c r="AN22" s="89"/>
      <c r="AO22" s="89">
        <v>6</v>
      </c>
      <c r="AP22" s="89">
        <v>65</v>
      </c>
      <c r="AQ22" s="89">
        <v>0</v>
      </c>
      <c r="AR22" s="89"/>
      <c r="AS22" s="89">
        <v>4.5</v>
      </c>
      <c r="AT22" s="89"/>
      <c r="AU22" s="89"/>
      <c r="AV22" s="100">
        <v>272</v>
      </c>
      <c r="AW22" s="89" t="s">
        <v>372</v>
      </c>
      <c r="AX22" s="89" t="s">
        <v>373</v>
      </c>
      <c r="AY22" s="89" t="s">
        <v>463</v>
      </c>
      <c r="AZ22" s="89"/>
      <c r="BA22" s="89"/>
      <c r="BB22" s="89"/>
      <c r="BC22" s="89"/>
      <c r="BD22" s="89"/>
      <c r="BE22" s="89"/>
      <c r="BF22" s="89"/>
      <c r="BG22" s="89"/>
      <c r="BH22" s="89" t="s">
        <v>464</v>
      </c>
      <c r="BI22" s="89"/>
      <c r="BJ22" s="89"/>
      <c r="BK22" s="74">
        <v>44823.239155092589</v>
      </c>
      <c r="BL22" s="74">
        <v>44817.626215277778</v>
      </c>
      <c r="BM22" s="89" t="s">
        <v>465</v>
      </c>
      <c r="BN22" s="89" t="b">
        <v>0</v>
      </c>
      <c r="BO22" s="89"/>
    </row>
    <row r="23" spans="1:67">
      <c r="A23" s="100">
        <v>100101</v>
      </c>
      <c r="B23" s="89" t="s">
        <v>466</v>
      </c>
      <c r="C23" s="89" t="s">
        <v>189</v>
      </c>
      <c r="D23" s="89" t="s">
        <v>467</v>
      </c>
      <c r="E23" s="89" t="s">
        <v>468</v>
      </c>
      <c r="F23" s="89" t="s">
        <v>469</v>
      </c>
      <c r="G23" s="89" t="s">
        <v>469</v>
      </c>
      <c r="H23" s="89" t="s">
        <v>470</v>
      </c>
      <c r="I23" s="89" t="s">
        <v>471</v>
      </c>
      <c r="J23" s="89" t="s">
        <v>472</v>
      </c>
      <c r="K23" s="89" t="s">
        <v>370</v>
      </c>
      <c r="L23" s="104">
        <v>84</v>
      </c>
      <c r="M23" s="89" t="s">
        <v>353</v>
      </c>
      <c r="N23" s="89" t="s">
        <v>354</v>
      </c>
      <c r="O23" s="104">
        <v>84</v>
      </c>
      <c r="P23" s="89" t="s">
        <v>353</v>
      </c>
      <c r="Q23" s="89" t="s">
        <v>473</v>
      </c>
      <c r="R23" s="89" t="s">
        <v>474</v>
      </c>
      <c r="S23" s="89" t="s">
        <v>475</v>
      </c>
      <c r="T23" s="89"/>
      <c r="U23" s="89"/>
      <c r="V23" s="89"/>
      <c r="W23" s="89"/>
      <c r="X23" s="89"/>
      <c r="Y23" s="89"/>
      <c r="Z23" s="89"/>
      <c r="AA23" s="89"/>
      <c r="AB23" s="89"/>
      <c r="AC23" s="89"/>
      <c r="AD23" s="89"/>
      <c r="AE23" s="89"/>
      <c r="AF23" s="89">
        <v>10</v>
      </c>
      <c r="AG23" s="89">
        <v>1</v>
      </c>
      <c r="AH23" s="89">
        <v>75</v>
      </c>
      <c r="AI23" s="89">
        <v>130</v>
      </c>
      <c r="AJ23" s="89">
        <v>1.5</v>
      </c>
      <c r="AK23" s="89">
        <v>0</v>
      </c>
      <c r="AL23" s="89">
        <v>0</v>
      </c>
      <c r="AM23" s="89">
        <v>0.5</v>
      </c>
      <c r="AN23" s="89">
        <v>390</v>
      </c>
      <c r="AO23" s="89">
        <v>19</v>
      </c>
      <c r="AP23" s="89">
        <v>90</v>
      </c>
      <c r="AQ23" s="89">
        <v>0</v>
      </c>
      <c r="AR23" s="89">
        <v>0</v>
      </c>
      <c r="AS23" s="89">
        <v>6</v>
      </c>
      <c r="AT23" s="89">
        <v>0</v>
      </c>
      <c r="AU23" s="89" t="s">
        <v>357</v>
      </c>
      <c r="AV23" s="104">
        <v>213</v>
      </c>
      <c r="AW23" s="89" t="s">
        <v>358</v>
      </c>
      <c r="AX23" s="106" t="b">
        <v>1</v>
      </c>
      <c r="AY23" s="82" t="s">
        <v>476</v>
      </c>
      <c r="AZ23" s="82" t="s">
        <v>476</v>
      </c>
      <c r="BA23" s="82" t="s">
        <v>476</v>
      </c>
      <c r="BB23" s="82" t="s">
        <v>476</v>
      </c>
      <c r="BC23" s="82" t="s">
        <v>476</v>
      </c>
      <c r="BD23" s="82" t="s">
        <v>476</v>
      </c>
      <c r="BE23" s="82" t="s">
        <v>476</v>
      </c>
      <c r="BF23" s="82" t="s">
        <v>476</v>
      </c>
      <c r="BG23" s="82" t="s">
        <v>476</v>
      </c>
      <c r="BH23" s="89" t="s">
        <v>361</v>
      </c>
      <c r="BI23" s="89"/>
      <c r="BJ23" s="89"/>
      <c r="BK23" t="s">
        <v>2297</v>
      </c>
      <c r="BL23" t="s">
        <v>2360</v>
      </c>
      <c r="BM23" s="89" t="s">
        <v>477</v>
      </c>
      <c r="BN23" s="89" t="b">
        <v>0</v>
      </c>
      <c r="BO23" s="89"/>
    </row>
    <row r="24" spans="1:67">
      <c r="A24" s="85">
        <v>100117</v>
      </c>
      <c r="B24" s="83" t="s">
        <v>478</v>
      </c>
      <c r="C24" s="83" t="s">
        <v>189</v>
      </c>
      <c r="D24" s="83" t="s">
        <v>479</v>
      </c>
      <c r="E24" s="83" t="s">
        <v>480</v>
      </c>
      <c r="F24" s="83" t="s">
        <v>481</v>
      </c>
      <c r="G24" s="83" t="s">
        <v>481</v>
      </c>
      <c r="H24" s="83" t="s">
        <v>482</v>
      </c>
      <c r="I24" s="83" t="s">
        <v>483</v>
      </c>
      <c r="J24" s="83" t="s">
        <v>484</v>
      </c>
      <c r="K24" t="s">
        <v>500</v>
      </c>
      <c r="L24" s="101">
        <v>84</v>
      </c>
      <c r="M24" s="82" t="s">
        <v>353</v>
      </c>
      <c r="N24" s="82" t="s">
        <v>419</v>
      </c>
      <c r="O24" s="82">
        <v>84</v>
      </c>
      <c r="P24" s="82" t="s">
        <v>353</v>
      </c>
      <c r="Q24" s="82" t="s">
        <v>473</v>
      </c>
      <c r="R24" s="83" t="s">
        <v>474</v>
      </c>
      <c r="S24" s="108" t="s">
        <v>485</v>
      </c>
      <c r="T24" s="83"/>
      <c r="U24" s="84"/>
      <c r="V24" s="84"/>
      <c r="W24" s="84"/>
      <c r="X24" s="83"/>
      <c r="Y24" s="83"/>
      <c r="Z24" s="83"/>
      <c r="AA24" s="83"/>
      <c r="AB24" s="84"/>
      <c r="AC24" s="84"/>
      <c r="AD24" s="83"/>
      <c r="AE24" s="108" t="s">
        <v>486</v>
      </c>
      <c r="AF24" s="82">
        <v>20</v>
      </c>
      <c r="AG24" s="82">
        <v>1.32</v>
      </c>
      <c r="AH24" s="82">
        <v>70.62</v>
      </c>
      <c r="AI24" s="82">
        <v>120</v>
      </c>
      <c r="AJ24" s="82">
        <v>1.87</v>
      </c>
      <c r="AK24" s="82">
        <v>0</v>
      </c>
      <c r="AL24" s="82">
        <v>0.22</v>
      </c>
      <c r="AM24" s="82">
        <v>1.04</v>
      </c>
      <c r="AN24" s="82">
        <v>312</v>
      </c>
      <c r="AO24" s="82">
        <v>16</v>
      </c>
      <c r="AP24" s="82">
        <v>420</v>
      </c>
      <c r="AQ24" s="82">
        <v>0</v>
      </c>
      <c r="AR24" s="82"/>
      <c r="AS24" s="83">
        <v>5.93</v>
      </c>
      <c r="AT24" s="82">
        <v>0</v>
      </c>
      <c r="AU24" s="82"/>
      <c r="AV24" s="82">
        <f>27*6</f>
        <v>162</v>
      </c>
      <c r="AW24" s="83" t="s">
        <v>358</v>
      </c>
      <c r="AX24" s="99" t="s">
        <v>373</v>
      </c>
      <c r="AY24" s="83"/>
      <c r="AZ24" s="83"/>
      <c r="BA24" s="83"/>
      <c r="BB24" s="83"/>
      <c r="BC24" s="83"/>
      <c r="BD24" s="83"/>
      <c r="BE24" s="83"/>
      <c r="BF24" s="83"/>
      <c r="BG24" s="83"/>
      <c r="BH24" s="83"/>
      <c r="BI24" s="83"/>
      <c r="BJ24" s="83"/>
      <c r="BK24" t="s">
        <v>2105</v>
      </c>
      <c r="BL24" t="s">
        <v>2129</v>
      </c>
      <c r="BM24" s="83" t="s">
        <v>487</v>
      </c>
      <c r="BN24" s="82" t="b">
        <v>1</v>
      </c>
      <c r="BO24" s="93"/>
    </row>
    <row r="25" spans="1:67">
      <c r="A25" s="100">
        <v>100117</v>
      </c>
      <c r="B25" s="89" t="s">
        <v>478</v>
      </c>
      <c r="C25" s="89" t="s">
        <v>189</v>
      </c>
      <c r="D25" s="89" t="s">
        <v>488</v>
      </c>
      <c r="E25" s="89" t="s">
        <v>468</v>
      </c>
      <c r="F25" s="89" t="s">
        <v>469</v>
      </c>
      <c r="G25" s="89" t="s">
        <v>469</v>
      </c>
      <c r="H25" s="89" t="s">
        <v>489</v>
      </c>
      <c r="I25" s="89" t="s">
        <v>490</v>
      </c>
      <c r="J25" s="89" t="s">
        <v>472</v>
      </c>
      <c r="K25" s="89" t="s">
        <v>370</v>
      </c>
      <c r="L25" s="104">
        <v>84</v>
      </c>
      <c r="M25" s="89" t="s">
        <v>353</v>
      </c>
      <c r="N25" s="89" t="s">
        <v>354</v>
      </c>
      <c r="O25" s="104">
        <v>84</v>
      </c>
      <c r="P25" s="89" t="s">
        <v>353</v>
      </c>
      <c r="Q25" s="89" t="s">
        <v>473</v>
      </c>
      <c r="R25" s="89" t="s">
        <v>474</v>
      </c>
      <c r="S25" s="89" t="s">
        <v>475</v>
      </c>
      <c r="T25" s="89"/>
      <c r="U25" s="93"/>
      <c r="V25" s="93"/>
      <c r="W25" s="93"/>
      <c r="X25" s="89"/>
      <c r="Y25" s="89"/>
      <c r="Z25" s="89"/>
      <c r="AA25" s="89"/>
      <c r="AB25" s="93"/>
      <c r="AC25" s="93"/>
      <c r="AD25" s="89"/>
      <c r="AE25" s="89"/>
      <c r="AF25" s="89">
        <v>10</v>
      </c>
      <c r="AG25" s="89">
        <v>2</v>
      </c>
      <c r="AH25" s="89">
        <v>80</v>
      </c>
      <c r="AI25" s="89">
        <v>140</v>
      </c>
      <c r="AJ25" s="89">
        <v>2</v>
      </c>
      <c r="AK25" s="89">
        <v>0</v>
      </c>
      <c r="AL25" s="89">
        <v>0</v>
      </c>
      <c r="AM25" s="89">
        <v>0.9</v>
      </c>
      <c r="AN25" s="89">
        <v>290</v>
      </c>
      <c r="AO25" s="89">
        <v>17</v>
      </c>
      <c r="AP25" s="89">
        <v>420</v>
      </c>
      <c r="AQ25" s="89">
        <v>0</v>
      </c>
      <c r="AR25" s="89">
        <v>0</v>
      </c>
      <c r="AS25" s="89">
        <v>7</v>
      </c>
      <c r="AT25" s="89">
        <v>0</v>
      </c>
      <c r="AU25" s="89" t="s">
        <v>357</v>
      </c>
      <c r="AV25" s="104" t="s">
        <v>491</v>
      </c>
      <c r="AW25" s="89" t="s">
        <v>358</v>
      </c>
      <c r="AX25" s="106" t="s">
        <v>373</v>
      </c>
      <c r="AY25" s="82" t="s">
        <v>476</v>
      </c>
      <c r="AZ25" s="82" t="s">
        <v>476</v>
      </c>
      <c r="BA25" s="82" t="s">
        <v>476</v>
      </c>
      <c r="BB25" s="82" t="s">
        <v>476</v>
      </c>
      <c r="BC25" s="82" t="s">
        <v>476</v>
      </c>
      <c r="BD25" s="82" t="s">
        <v>476</v>
      </c>
      <c r="BE25" s="82" t="s">
        <v>476</v>
      </c>
      <c r="BF25" s="82" t="s">
        <v>476</v>
      </c>
      <c r="BG25" s="82" t="s">
        <v>476</v>
      </c>
      <c r="BH25" s="89" t="s">
        <v>361</v>
      </c>
      <c r="BI25" s="89"/>
      <c r="BJ25" s="89"/>
      <c r="BK25" t="s">
        <v>2297</v>
      </c>
      <c r="BL25" t="s">
        <v>2361</v>
      </c>
      <c r="BM25" s="89" t="s">
        <v>492</v>
      </c>
      <c r="BN25" s="89" t="b">
        <v>0</v>
      </c>
      <c r="BO25" s="93"/>
    </row>
    <row r="26" spans="1:67">
      <c r="A26" s="100">
        <v>100119</v>
      </c>
      <c r="B26" s="89" t="s">
        <v>493</v>
      </c>
      <c r="C26" s="89" t="s">
        <v>189</v>
      </c>
      <c r="D26" s="89" t="s">
        <v>494</v>
      </c>
      <c r="E26" s="89" t="s">
        <v>495</v>
      </c>
      <c r="F26" s="89" t="s">
        <v>496</v>
      </c>
      <c r="G26" s="89" t="s">
        <v>496</v>
      </c>
      <c r="H26" s="89" t="s">
        <v>497</v>
      </c>
      <c r="I26" s="89" t="s">
        <v>498</v>
      </c>
      <c r="J26" s="89" t="s">
        <v>499</v>
      </c>
      <c r="K26" s="89" t="s">
        <v>500</v>
      </c>
      <c r="L26" s="89">
        <v>56</v>
      </c>
      <c r="M26" s="89" t="s">
        <v>353</v>
      </c>
      <c r="N26" s="89" t="s">
        <v>354</v>
      </c>
      <c r="O26" s="89">
        <v>56</v>
      </c>
      <c r="P26" s="89" t="s">
        <v>353</v>
      </c>
      <c r="Q26" s="89" t="s">
        <v>501</v>
      </c>
      <c r="R26" s="89" t="s">
        <v>356</v>
      </c>
      <c r="S26" s="89" t="s">
        <v>475</v>
      </c>
      <c r="T26" s="89"/>
      <c r="U26" s="93"/>
      <c r="V26" s="93"/>
      <c r="W26" s="93"/>
      <c r="X26" s="89"/>
      <c r="Y26" s="89"/>
      <c r="Z26" s="89"/>
      <c r="AA26" s="89"/>
      <c r="AB26" s="93"/>
      <c r="AC26" s="93"/>
      <c r="AD26" s="89"/>
      <c r="AE26" s="89"/>
      <c r="AF26" s="89"/>
      <c r="AG26" s="89">
        <v>3</v>
      </c>
      <c r="AH26" s="89">
        <v>25</v>
      </c>
      <c r="AI26" s="89">
        <v>80</v>
      </c>
      <c r="AJ26" s="89">
        <v>1</v>
      </c>
      <c r="AK26" s="89"/>
      <c r="AL26" s="89">
        <v>1</v>
      </c>
      <c r="AM26" s="89"/>
      <c r="AN26" s="89"/>
      <c r="AO26" s="89">
        <v>8</v>
      </c>
      <c r="AP26" s="89">
        <v>160</v>
      </c>
      <c r="AQ26" s="89">
        <v>1</v>
      </c>
      <c r="AR26" s="89"/>
      <c r="AS26" s="89">
        <v>4</v>
      </c>
      <c r="AT26" s="89"/>
      <c r="AU26" s="89" t="s">
        <v>502</v>
      </c>
      <c r="AV26" s="89" t="s">
        <v>503</v>
      </c>
      <c r="AW26" s="89" t="s">
        <v>358</v>
      </c>
      <c r="AX26" s="89" t="s">
        <v>373</v>
      </c>
      <c r="AY26" s="89" t="s">
        <v>359</v>
      </c>
      <c r="AZ26" s="89" t="s">
        <v>359</v>
      </c>
      <c r="BA26" s="89" t="s">
        <v>359</v>
      </c>
      <c r="BB26" s="89" t="s">
        <v>359</v>
      </c>
      <c r="BC26" s="89" t="s">
        <v>359</v>
      </c>
      <c r="BD26" s="89" t="s">
        <v>359</v>
      </c>
      <c r="BE26" s="89" t="s">
        <v>360</v>
      </c>
      <c r="BF26" s="89" t="s">
        <v>359</v>
      </c>
      <c r="BG26" s="89" t="s">
        <v>359</v>
      </c>
      <c r="BH26" s="89" t="s">
        <v>361</v>
      </c>
      <c r="BI26" s="89"/>
      <c r="BJ26" s="89"/>
      <c r="BK26" s="74">
        <v>45078.378368055557</v>
      </c>
      <c r="BL26" s="74">
        <v>45048.56621527778</v>
      </c>
      <c r="BM26" s="89" t="s">
        <v>504</v>
      </c>
      <c r="BN26" s="89" t="b">
        <v>0</v>
      </c>
      <c r="BO26" s="93"/>
    </row>
    <row r="27" spans="1:67">
      <c r="A27" s="73">
        <v>100119</v>
      </c>
      <c r="B27" s="82" t="s">
        <v>493</v>
      </c>
      <c r="C27" s="82" t="s">
        <v>189</v>
      </c>
      <c r="D27" s="89" t="s">
        <v>505</v>
      </c>
      <c r="E27" s="89" t="s">
        <v>506</v>
      </c>
      <c r="F27" s="89" t="s">
        <v>506</v>
      </c>
      <c r="G27" s="89" t="s">
        <v>507</v>
      </c>
      <c r="H27" s="89" t="s">
        <v>508</v>
      </c>
      <c r="I27" s="89" t="s">
        <v>508</v>
      </c>
      <c r="J27" s="89" t="s">
        <v>508</v>
      </c>
      <c r="K27" s="89"/>
      <c r="L27" s="89">
        <v>97.524000000000001</v>
      </c>
      <c r="M27" s="89" t="s">
        <v>353</v>
      </c>
      <c r="N27" s="89" t="s">
        <v>354</v>
      </c>
      <c r="O27" s="89">
        <v>97.524000000000001</v>
      </c>
      <c r="P27" s="89" t="s">
        <v>353</v>
      </c>
      <c r="Q27" s="89" t="s">
        <v>509</v>
      </c>
      <c r="R27" s="89" t="s">
        <v>356</v>
      </c>
      <c r="S27" s="89" t="s">
        <v>475</v>
      </c>
      <c r="T27" s="89"/>
      <c r="U27" s="93"/>
      <c r="V27" s="93"/>
      <c r="W27" s="93"/>
      <c r="X27" s="89"/>
      <c r="Y27" s="89"/>
      <c r="Z27" s="89"/>
      <c r="AA27" s="89"/>
      <c r="AB27" s="93"/>
      <c r="AC27" s="93"/>
      <c r="AD27" s="89"/>
      <c r="AE27" s="89"/>
      <c r="AF27" s="83"/>
      <c r="AG27">
        <v>5.26</v>
      </c>
      <c r="AH27">
        <v>41.44</v>
      </c>
      <c r="AI27">
        <v>167.48</v>
      </c>
      <c r="AJ27">
        <v>2.75</v>
      </c>
      <c r="AK27">
        <v>0.3</v>
      </c>
      <c r="AL27">
        <v>1.63</v>
      </c>
      <c r="AM27">
        <v>1.26</v>
      </c>
      <c r="AN27" s="83"/>
      <c r="AO27">
        <v>15.76</v>
      </c>
      <c r="AP27">
        <v>270.08</v>
      </c>
      <c r="AQ27">
        <v>2.0499999999999998</v>
      </c>
      <c r="AR27" s="83"/>
      <c r="AS27">
        <v>9.25</v>
      </c>
      <c r="AT27" s="83"/>
      <c r="AU27" s="89" t="s">
        <v>510</v>
      </c>
      <c r="AV27" s="89" t="s">
        <v>511</v>
      </c>
      <c r="AW27" s="89" t="s">
        <v>358</v>
      </c>
      <c r="AX27" s="89"/>
      <c r="AY27" s="89" t="s">
        <v>359</v>
      </c>
      <c r="AZ27" s="89" t="s">
        <v>359</v>
      </c>
      <c r="BA27" s="89" t="s">
        <v>359</v>
      </c>
      <c r="BB27" s="89" t="s">
        <v>359</v>
      </c>
      <c r="BC27" s="89" t="s">
        <v>359</v>
      </c>
      <c r="BD27" s="89" t="s">
        <v>359</v>
      </c>
      <c r="BE27" s="89" t="s">
        <v>360</v>
      </c>
      <c r="BF27" s="89" t="s">
        <v>359</v>
      </c>
      <c r="BG27" s="89" t="s">
        <v>359</v>
      </c>
      <c r="BH27" s="89" t="s">
        <v>361</v>
      </c>
      <c r="BI27" s="89"/>
      <c r="BJ27" s="89"/>
      <c r="BK27" t="s">
        <v>2297</v>
      </c>
      <c r="BL27" t="s">
        <v>2349</v>
      </c>
      <c r="BM27" s="100" t="s">
        <v>512</v>
      </c>
      <c r="BN27" s="89" t="b">
        <v>0</v>
      </c>
      <c r="BO27" s="93"/>
    </row>
    <row r="28" spans="1:67">
      <c r="A28" s="100">
        <v>100119</v>
      </c>
      <c r="B28" s="89" t="s">
        <v>493</v>
      </c>
      <c r="C28" s="89" t="s">
        <v>189</v>
      </c>
      <c r="D28" s="89" t="s">
        <v>513</v>
      </c>
      <c r="E28" s="89" t="s">
        <v>408</v>
      </c>
      <c r="F28" s="89" t="s">
        <v>469</v>
      </c>
      <c r="G28" s="89" t="s">
        <v>469</v>
      </c>
      <c r="H28" s="89" t="s">
        <v>497</v>
      </c>
      <c r="I28" s="89" t="s">
        <v>514</v>
      </c>
      <c r="J28" s="89" t="s">
        <v>472</v>
      </c>
      <c r="K28" s="89" t="s">
        <v>370</v>
      </c>
      <c r="L28" s="104">
        <v>56</v>
      </c>
      <c r="M28" s="89" t="s">
        <v>353</v>
      </c>
      <c r="N28" s="89" t="s">
        <v>354</v>
      </c>
      <c r="O28" s="104">
        <v>56</v>
      </c>
      <c r="P28" s="89" t="s">
        <v>353</v>
      </c>
      <c r="Q28" s="89" t="s">
        <v>501</v>
      </c>
      <c r="R28" s="89" t="s">
        <v>474</v>
      </c>
      <c r="S28" s="103" t="s">
        <v>515</v>
      </c>
      <c r="T28" s="89"/>
      <c r="U28" s="93"/>
      <c r="V28" s="93"/>
      <c r="W28" s="93"/>
      <c r="X28" s="89"/>
      <c r="Y28" s="89"/>
      <c r="Z28" s="89"/>
      <c r="AA28" s="89"/>
      <c r="AB28" s="93"/>
      <c r="AC28" s="93"/>
      <c r="AD28" s="89"/>
      <c r="AE28" s="103" t="s">
        <v>516</v>
      </c>
      <c r="AF28" s="89">
        <v>20</v>
      </c>
      <c r="AG28" s="89">
        <v>4</v>
      </c>
      <c r="AH28" s="89">
        <v>35</v>
      </c>
      <c r="AI28" s="89">
        <v>90</v>
      </c>
      <c r="AJ28" s="89">
        <v>1</v>
      </c>
      <c r="AK28" s="89">
        <v>0</v>
      </c>
      <c r="AL28" s="89">
        <v>1</v>
      </c>
      <c r="AM28" s="89">
        <v>1.2</v>
      </c>
      <c r="AN28" s="89">
        <v>270</v>
      </c>
      <c r="AO28" s="89">
        <v>12</v>
      </c>
      <c r="AP28" s="89">
        <v>120</v>
      </c>
      <c r="AQ28" s="89">
        <v>2</v>
      </c>
      <c r="AR28" s="89">
        <v>0</v>
      </c>
      <c r="AS28" s="89">
        <v>3</v>
      </c>
      <c r="AT28" s="89">
        <v>0</v>
      </c>
      <c r="AU28" s="89" t="s">
        <v>357</v>
      </c>
      <c r="AV28" s="104" t="s">
        <v>503</v>
      </c>
      <c r="AW28" s="89" t="s">
        <v>358</v>
      </c>
      <c r="AX28" s="106" t="s">
        <v>373</v>
      </c>
      <c r="AY28" s="82" t="s">
        <v>476</v>
      </c>
      <c r="AZ28" s="82" t="s">
        <v>476</v>
      </c>
      <c r="BA28" s="82" t="s">
        <v>476</v>
      </c>
      <c r="BB28" s="82" t="s">
        <v>476</v>
      </c>
      <c r="BC28" s="82" t="s">
        <v>476</v>
      </c>
      <c r="BD28" s="82" t="s">
        <v>476</v>
      </c>
      <c r="BE28" s="82" t="s">
        <v>360</v>
      </c>
      <c r="BF28" s="82" t="s">
        <v>476</v>
      </c>
      <c r="BG28" s="82" t="s">
        <v>476</v>
      </c>
      <c r="BH28" s="89" t="s">
        <v>361</v>
      </c>
      <c r="BI28" s="89"/>
      <c r="BJ28" s="89"/>
      <c r="BK28" s="82" t="s">
        <v>2018</v>
      </c>
      <c r="BL28" s="82" t="s">
        <v>2038</v>
      </c>
      <c r="BM28" s="100" t="s">
        <v>517</v>
      </c>
      <c r="BN28" s="89" t="b">
        <v>0</v>
      </c>
      <c r="BO28" s="93"/>
    </row>
    <row r="29" spans="1:67">
      <c r="A29" s="100">
        <v>100121</v>
      </c>
      <c r="B29" s="89" t="s">
        <v>518</v>
      </c>
      <c r="C29" s="89" t="s">
        <v>189</v>
      </c>
      <c r="D29" s="89" t="s">
        <v>519</v>
      </c>
      <c r="E29" s="89" t="s">
        <v>495</v>
      </c>
      <c r="F29" s="89" t="s">
        <v>496</v>
      </c>
      <c r="G29" s="89" t="s">
        <v>496</v>
      </c>
      <c r="H29" s="89" t="s">
        <v>520</v>
      </c>
      <c r="I29" s="89" t="s">
        <v>521</v>
      </c>
      <c r="J29" s="89" t="s">
        <v>499</v>
      </c>
      <c r="K29" s="89" t="s">
        <v>500</v>
      </c>
      <c r="L29" s="89">
        <v>56</v>
      </c>
      <c r="M29" s="89" t="s">
        <v>353</v>
      </c>
      <c r="N29" s="89" t="s">
        <v>354</v>
      </c>
      <c r="O29" s="89">
        <v>56</v>
      </c>
      <c r="P29" s="89" t="s">
        <v>353</v>
      </c>
      <c r="Q29" s="89" t="s">
        <v>501</v>
      </c>
      <c r="R29" s="89" t="s">
        <v>356</v>
      </c>
      <c r="S29" s="89" t="s">
        <v>475</v>
      </c>
      <c r="T29" s="89"/>
      <c r="U29" s="93"/>
      <c r="V29" s="93"/>
      <c r="W29" s="93"/>
      <c r="X29" s="89"/>
      <c r="Y29" s="89"/>
      <c r="Z29" s="89"/>
      <c r="AA29" s="89"/>
      <c r="AB29" s="93"/>
      <c r="AC29" s="93"/>
      <c r="AD29" s="89"/>
      <c r="AE29" s="89"/>
      <c r="AF29" s="89">
        <v>0</v>
      </c>
      <c r="AG29" s="89">
        <v>1</v>
      </c>
      <c r="AH29" s="89">
        <v>30</v>
      </c>
      <c r="AI29" s="89">
        <v>60</v>
      </c>
      <c r="AJ29" s="89">
        <v>0</v>
      </c>
      <c r="AK29" s="89">
        <v>0</v>
      </c>
      <c r="AL29" s="89">
        <v>0</v>
      </c>
      <c r="AM29" s="89"/>
      <c r="AN29" s="89"/>
      <c r="AO29" s="89">
        <v>12</v>
      </c>
      <c r="AP29" s="89">
        <v>500</v>
      </c>
      <c r="AQ29" s="89">
        <v>0</v>
      </c>
      <c r="AR29" s="89"/>
      <c r="AS29" s="89">
        <v>1</v>
      </c>
      <c r="AT29" s="89"/>
      <c r="AU29" s="89" t="s">
        <v>502</v>
      </c>
      <c r="AV29" s="89" t="s">
        <v>522</v>
      </c>
      <c r="AW29" s="89" t="s">
        <v>358</v>
      </c>
      <c r="AX29" s="89" t="s">
        <v>373</v>
      </c>
      <c r="AY29" s="89" t="s">
        <v>359</v>
      </c>
      <c r="AZ29" s="89" t="s">
        <v>359</v>
      </c>
      <c r="BA29" s="89" t="s">
        <v>359</v>
      </c>
      <c r="BB29" s="89" t="s">
        <v>359</v>
      </c>
      <c r="BC29" s="89" t="s">
        <v>359</v>
      </c>
      <c r="BD29" s="89" t="s">
        <v>359</v>
      </c>
      <c r="BE29" s="89" t="s">
        <v>359</v>
      </c>
      <c r="BF29" s="89" t="s">
        <v>359</v>
      </c>
      <c r="BG29" s="89" t="s">
        <v>359</v>
      </c>
      <c r="BH29" s="89" t="s">
        <v>361</v>
      </c>
      <c r="BI29" s="89"/>
      <c r="BJ29" s="89"/>
      <c r="BK29" s="74">
        <v>45078.375173611108</v>
      </c>
      <c r="BL29" s="74">
        <v>45048.567025462973</v>
      </c>
      <c r="BM29" s="89" t="s">
        <v>523</v>
      </c>
      <c r="BN29" s="89" t="b">
        <v>0</v>
      </c>
      <c r="BO29" s="93"/>
    </row>
    <row r="30" spans="1:67">
      <c r="A30" s="100">
        <v>100121</v>
      </c>
      <c r="B30" s="89" t="s">
        <v>518</v>
      </c>
      <c r="C30" s="89" t="s">
        <v>189</v>
      </c>
      <c r="D30" s="89" t="s">
        <v>525</v>
      </c>
      <c r="E30" s="82" t="s">
        <v>526</v>
      </c>
      <c r="F30" s="89" t="s">
        <v>469</v>
      </c>
      <c r="G30" s="89" t="s">
        <v>469</v>
      </c>
      <c r="H30" s="89" t="s">
        <v>527</v>
      </c>
      <c r="I30" s="89" t="s">
        <v>528</v>
      </c>
      <c r="J30" s="89" t="s">
        <v>529</v>
      </c>
      <c r="K30" s="89" t="s">
        <v>370</v>
      </c>
      <c r="L30" s="104">
        <v>56</v>
      </c>
      <c r="M30" s="89" t="s">
        <v>353</v>
      </c>
      <c r="N30" s="89" t="s">
        <v>354</v>
      </c>
      <c r="O30" s="104">
        <v>56</v>
      </c>
      <c r="P30" s="89" t="s">
        <v>353</v>
      </c>
      <c r="Q30" s="89" t="s">
        <v>501</v>
      </c>
      <c r="R30" s="89" t="s">
        <v>474</v>
      </c>
      <c r="S30" s="89" t="s">
        <v>475</v>
      </c>
      <c r="T30" s="89"/>
      <c r="U30" s="93"/>
      <c r="V30" s="93"/>
      <c r="W30" s="93"/>
      <c r="X30" s="89"/>
      <c r="Y30" s="89"/>
      <c r="Z30" s="89"/>
      <c r="AA30" s="89"/>
      <c r="AB30" s="93"/>
      <c r="AC30" s="93"/>
      <c r="AD30" s="89"/>
      <c r="AE30" s="89"/>
      <c r="AF30" s="89">
        <v>0</v>
      </c>
      <c r="AG30" s="89">
        <v>1</v>
      </c>
      <c r="AH30" s="89">
        <v>30</v>
      </c>
      <c r="AI30" s="89">
        <v>70</v>
      </c>
      <c r="AJ30" s="89">
        <v>0</v>
      </c>
      <c r="AK30" s="89">
        <v>0</v>
      </c>
      <c r="AL30" s="89">
        <v>0</v>
      </c>
      <c r="AM30" s="89">
        <v>0.4</v>
      </c>
      <c r="AN30" s="89">
        <v>120</v>
      </c>
      <c r="AO30" s="89">
        <v>12</v>
      </c>
      <c r="AP30" s="89">
        <v>320</v>
      </c>
      <c r="AQ30" s="89">
        <v>1</v>
      </c>
      <c r="AR30" s="89">
        <v>1</v>
      </c>
      <c r="AS30" s="89">
        <v>1.5</v>
      </c>
      <c r="AT30" s="89">
        <v>0</v>
      </c>
      <c r="AU30" s="89" t="s">
        <v>357</v>
      </c>
      <c r="AV30" s="104" t="s">
        <v>530</v>
      </c>
      <c r="AW30" s="89" t="s">
        <v>358</v>
      </c>
      <c r="AX30" s="106" t="s">
        <v>373</v>
      </c>
      <c r="AY30" s="82" t="s">
        <v>476</v>
      </c>
      <c r="AZ30" s="82" t="s">
        <v>476</v>
      </c>
      <c r="BA30" s="82" t="s">
        <v>476</v>
      </c>
      <c r="BB30" s="82" t="s">
        <v>476</v>
      </c>
      <c r="BC30" s="82" t="s">
        <v>476</v>
      </c>
      <c r="BD30" s="82" t="s">
        <v>476</v>
      </c>
      <c r="BE30" s="82" t="s">
        <v>476</v>
      </c>
      <c r="BF30" s="82" t="s">
        <v>476</v>
      </c>
      <c r="BG30" s="82" t="s">
        <v>476</v>
      </c>
      <c r="BH30" s="89" t="s">
        <v>361</v>
      </c>
      <c r="BI30" s="89"/>
      <c r="BJ30" s="89"/>
      <c r="BK30" s="82" t="s">
        <v>1909</v>
      </c>
      <c r="BL30" s="82" t="s">
        <v>1947</v>
      </c>
      <c r="BM30" s="89" t="s">
        <v>531</v>
      </c>
      <c r="BN30" s="89" t="b">
        <v>0</v>
      </c>
      <c r="BO30" s="89"/>
    </row>
    <row r="31" spans="1:67">
      <c r="A31" s="82">
        <v>100122</v>
      </c>
      <c r="B31" s="82" t="s">
        <v>536</v>
      </c>
      <c r="C31" s="89" t="s">
        <v>189</v>
      </c>
      <c r="D31" s="89" t="s">
        <v>532</v>
      </c>
      <c r="E31" s="89" t="s">
        <v>495</v>
      </c>
      <c r="F31" s="89" t="s">
        <v>496</v>
      </c>
      <c r="G31" s="89" t="s">
        <v>496</v>
      </c>
      <c r="H31" s="89" t="s">
        <v>533</v>
      </c>
      <c r="I31" s="89" t="s">
        <v>534</v>
      </c>
      <c r="J31" s="89" t="s">
        <v>499</v>
      </c>
      <c r="K31" s="82" t="s">
        <v>370</v>
      </c>
      <c r="L31" s="89">
        <v>56</v>
      </c>
      <c r="M31" s="89" t="s">
        <v>353</v>
      </c>
      <c r="N31" s="89" t="s">
        <v>354</v>
      </c>
      <c r="O31" s="89">
        <v>56</v>
      </c>
      <c r="P31" s="89" t="s">
        <v>353</v>
      </c>
      <c r="Q31" s="89" t="s">
        <v>501</v>
      </c>
      <c r="R31" s="89" t="s">
        <v>356</v>
      </c>
      <c r="S31" s="89" t="s">
        <v>475</v>
      </c>
      <c r="T31" s="89"/>
      <c r="U31" s="93"/>
      <c r="V31" s="93"/>
      <c r="W31" s="93"/>
      <c r="X31" s="89"/>
      <c r="Y31" s="89"/>
      <c r="Z31" s="89"/>
      <c r="AA31" s="89"/>
      <c r="AB31" s="93"/>
      <c r="AC31" s="93"/>
      <c r="AD31" s="89"/>
      <c r="AE31" s="89"/>
      <c r="AF31" s="89">
        <v>0</v>
      </c>
      <c r="AG31" s="89">
        <v>1</v>
      </c>
      <c r="AH31" s="89">
        <v>30</v>
      </c>
      <c r="AI31" s="89">
        <v>60</v>
      </c>
      <c r="AJ31" s="89">
        <v>0</v>
      </c>
      <c r="AK31" s="89">
        <v>0</v>
      </c>
      <c r="AL31" s="89">
        <v>0</v>
      </c>
      <c r="AM31" s="89"/>
      <c r="AN31" s="89"/>
      <c r="AO31" s="89">
        <v>12</v>
      </c>
      <c r="AP31" s="89">
        <v>330</v>
      </c>
      <c r="AQ31" s="89">
        <v>0</v>
      </c>
      <c r="AR31" s="89"/>
      <c r="AS31" s="89">
        <v>0.5</v>
      </c>
      <c r="AT31" s="89"/>
      <c r="AU31" s="89" t="s">
        <v>502</v>
      </c>
      <c r="AV31" s="89" t="s">
        <v>522</v>
      </c>
      <c r="AW31" s="89" t="s">
        <v>358</v>
      </c>
      <c r="AX31" s="89" t="s">
        <v>373</v>
      </c>
      <c r="AY31" s="89" t="s">
        <v>359</v>
      </c>
      <c r="AZ31" s="89" t="s">
        <v>359</v>
      </c>
      <c r="BA31" s="89" t="s">
        <v>359</v>
      </c>
      <c r="BB31" s="89" t="s">
        <v>359</v>
      </c>
      <c r="BC31" s="89" t="s">
        <v>359</v>
      </c>
      <c r="BD31" s="89" t="s">
        <v>359</v>
      </c>
      <c r="BE31" s="89" t="s">
        <v>359</v>
      </c>
      <c r="BF31" s="89" t="s">
        <v>359</v>
      </c>
      <c r="BG31" s="89" t="s">
        <v>359</v>
      </c>
      <c r="BH31" s="89" t="s">
        <v>361</v>
      </c>
      <c r="BI31" s="89"/>
      <c r="BJ31" s="89"/>
      <c r="BK31" s="82" t="s">
        <v>2018</v>
      </c>
      <c r="BL31" s="82" t="s">
        <v>2019</v>
      </c>
      <c r="BM31" s="89" t="s">
        <v>535</v>
      </c>
      <c r="BN31" s="89" t="b">
        <v>0</v>
      </c>
      <c r="BO31" s="89"/>
    </row>
    <row r="32" spans="1:67">
      <c r="A32" s="100">
        <v>100125</v>
      </c>
      <c r="B32" s="89" t="s">
        <v>2099</v>
      </c>
      <c r="C32" s="89" t="s">
        <v>189</v>
      </c>
      <c r="D32" s="89" t="s">
        <v>537</v>
      </c>
      <c r="E32" s="89" t="s">
        <v>538</v>
      </c>
      <c r="F32" s="89" t="s">
        <v>496</v>
      </c>
      <c r="G32" s="89" t="s">
        <v>496</v>
      </c>
      <c r="H32" s="89" t="s">
        <v>539</v>
      </c>
      <c r="I32" s="89" t="s">
        <v>540</v>
      </c>
      <c r="J32" s="89" t="s">
        <v>499</v>
      </c>
      <c r="K32" s="89" t="s">
        <v>370</v>
      </c>
      <c r="L32" s="89">
        <v>112</v>
      </c>
      <c r="M32" s="89" t="s">
        <v>353</v>
      </c>
      <c r="N32" s="89" t="s">
        <v>354</v>
      </c>
      <c r="O32" s="89">
        <v>112</v>
      </c>
      <c r="P32" s="89" t="s">
        <v>353</v>
      </c>
      <c r="Q32" s="89" t="s">
        <v>541</v>
      </c>
      <c r="R32" s="89" t="s">
        <v>474</v>
      </c>
      <c r="S32" s="89"/>
      <c r="T32" s="89"/>
      <c r="U32" s="93"/>
      <c r="V32" s="93"/>
      <c r="W32" s="93"/>
      <c r="X32" s="89"/>
      <c r="Y32" s="89"/>
      <c r="Z32" s="89"/>
      <c r="AA32" s="89"/>
      <c r="AB32" s="93"/>
      <c r="AC32" s="93"/>
      <c r="AD32" s="89"/>
      <c r="AE32" s="89"/>
      <c r="AF32" s="89"/>
      <c r="AG32" s="89">
        <v>0</v>
      </c>
      <c r="AH32" s="89">
        <v>70</v>
      </c>
      <c r="AI32" s="89">
        <v>130</v>
      </c>
      <c r="AJ32" s="89">
        <v>3.5</v>
      </c>
      <c r="AK32" s="89">
        <v>0</v>
      </c>
      <c r="AL32" s="89">
        <v>0</v>
      </c>
      <c r="AM32" s="89"/>
      <c r="AN32" s="89"/>
      <c r="AO32" s="89">
        <v>24</v>
      </c>
      <c r="AP32" s="89">
        <v>560</v>
      </c>
      <c r="AQ32" s="89">
        <v>0</v>
      </c>
      <c r="AR32" s="89">
        <v>0</v>
      </c>
      <c r="AS32" s="89">
        <v>3.5</v>
      </c>
      <c r="AT32" s="89"/>
      <c r="AU32" s="89" t="s">
        <v>502</v>
      </c>
      <c r="AV32" s="89" t="s">
        <v>491</v>
      </c>
      <c r="AW32" s="89" t="s">
        <v>358</v>
      </c>
      <c r="AX32" s="89" t="s">
        <v>373</v>
      </c>
      <c r="AY32" s="89" t="s">
        <v>359</v>
      </c>
      <c r="AZ32" s="89" t="s">
        <v>359</v>
      </c>
      <c r="BA32" s="89" t="s">
        <v>359</v>
      </c>
      <c r="BB32" s="89" t="s">
        <v>359</v>
      </c>
      <c r="BC32" s="89" t="s">
        <v>359</v>
      </c>
      <c r="BD32" s="89" t="s">
        <v>359</v>
      </c>
      <c r="BE32" s="89" t="s">
        <v>359</v>
      </c>
      <c r="BF32" s="89" t="s">
        <v>359</v>
      </c>
      <c r="BG32" s="89" t="s">
        <v>359</v>
      </c>
      <c r="BH32" s="89" t="s">
        <v>361</v>
      </c>
      <c r="BI32" s="89"/>
      <c r="BJ32" s="89"/>
      <c r="BK32" s="74">
        <v>44958.418587962973</v>
      </c>
      <c r="BL32" s="74">
        <v>44971.377314814818</v>
      </c>
      <c r="BM32" s="89" t="s">
        <v>542</v>
      </c>
      <c r="BN32" s="89" t="b">
        <v>0</v>
      </c>
      <c r="BO32" s="89"/>
    </row>
    <row r="33" spans="1:67">
      <c r="A33" s="82">
        <v>100125</v>
      </c>
      <c r="B33" s="82" t="s">
        <v>2099</v>
      </c>
      <c r="C33" s="82" t="s">
        <v>189</v>
      </c>
      <c r="D33" s="82" t="s">
        <v>1948</v>
      </c>
      <c r="E33" s="82" t="s">
        <v>1949</v>
      </c>
      <c r="F33" s="82" t="s">
        <v>1950</v>
      </c>
      <c r="G33" s="82" t="s">
        <v>1950</v>
      </c>
      <c r="H33" s="82" t="s">
        <v>1951</v>
      </c>
      <c r="I33" s="82" t="s">
        <v>1952</v>
      </c>
      <c r="J33" s="82"/>
      <c r="K33" s="82" t="s">
        <v>370</v>
      </c>
      <c r="L33" s="82">
        <v>112</v>
      </c>
      <c r="M33" s="82" t="s">
        <v>353</v>
      </c>
      <c r="N33" s="82" t="s">
        <v>354</v>
      </c>
      <c r="O33" s="82"/>
      <c r="P33" s="82"/>
      <c r="Q33" s="82" t="s">
        <v>541</v>
      </c>
      <c r="R33" s="82" t="s">
        <v>1000</v>
      </c>
      <c r="S33" s="82"/>
      <c r="T33" s="82"/>
      <c r="U33" s="82"/>
      <c r="V33" s="82"/>
      <c r="W33" s="82"/>
      <c r="X33" s="82"/>
      <c r="Y33" s="82"/>
      <c r="Z33" s="82"/>
      <c r="AA33" s="82"/>
      <c r="AB33" s="82"/>
      <c r="AC33" s="82"/>
      <c r="AD33" s="82"/>
      <c r="AE33" s="82"/>
      <c r="AF33" s="82">
        <v>0</v>
      </c>
      <c r="AG33" s="82">
        <v>0</v>
      </c>
      <c r="AH33" s="82">
        <v>65</v>
      </c>
      <c r="AI33" s="82">
        <v>160</v>
      </c>
      <c r="AJ33" s="82">
        <v>2</v>
      </c>
      <c r="AK33" s="82"/>
      <c r="AL33" s="82">
        <v>0</v>
      </c>
      <c r="AM33" s="82">
        <v>0.72</v>
      </c>
      <c r="AN33" s="82"/>
      <c r="AO33" s="82">
        <v>20</v>
      </c>
      <c r="AP33" s="82">
        <v>600</v>
      </c>
      <c r="AQ33" s="82">
        <v>0</v>
      </c>
      <c r="AR33" s="82">
        <v>0</v>
      </c>
      <c r="AS33" s="82">
        <v>8</v>
      </c>
      <c r="AT33" s="82"/>
      <c r="AU33" s="82" t="s">
        <v>524</v>
      </c>
      <c r="AV33" s="82">
        <v>160</v>
      </c>
      <c r="AW33" s="82" t="s">
        <v>358</v>
      </c>
      <c r="AX33" s="82"/>
      <c r="AY33" s="82" t="s">
        <v>359</v>
      </c>
      <c r="AZ33" s="82" t="s">
        <v>359</v>
      </c>
      <c r="BA33" s="82" t="s">
        <v>359</v>
      </c>
      <c r="BB33" s="82" t="s">
        <v>359</v>
      </c>
      <c r="BC33" s="82" t="s">
        <v>359</v>
      </c>
      <c r="BD33" s="82" t="s">
        <v>359</v>
      </c>
      <c r="BE33" s="82" t="s">
        <v>359</v>
      </c>
      <c r="BF33" s="82" t="s">
        <v>359</v>
      </c>
      <c r="BG33" s="82" t="s">
        <v>359</v>
      </c>
      <c r="BH33" s="82" t="s">
        <v>1953</v>
      </c>
      <c r="BI33" s="82"/>
      <c r="BJ33" s="82"/>
      <c r="BK33" s="82" t="s">
        <v>1909</v>
      </c>
      <c r="BL33" s="82" t="s">
        <v>1954</v>
      </c>
      <c r="BM33" s="82" t="s">
        <v>1955</v>
      </c>
      <c r="BN33" s="82" t="b">
        <v>0</v>
      </c>
      <c r="BO33" s="89"/>
    </row>
    <row r="34" spans="1:67">
      <c r="A34" s="83">
        <v>100126</v>
      </c>
      <c r="B34" s="83" t="s">
        <v>199</v>
      </c>
      <c r="C34" s="83" t="s">
        <v>189</v>
      </c>
      <c r="D34" s="83" t="s">
        <v>2051</v>
      </c>
      <c r="E34" s="83" t="s">
        <v>598</v>
      </c>
      <c r="F34" s="83" t="s">
        <v>599</v>
      </c>
      <c r="G34" s="83" t="s">
        <v>600</v>
      </c>
      <c r="H34" s="83" t="s">
        <v>2052</v>
      </c>
      <c r="I34" s="83" t="s">
        <v>2053</v>
      </c>
      <c r="J34" s="83" t="s">
        <v>601</v>
      </c>
      <c r="K34" s="83" t="s">
        <v>370</v>
      </c>
      <c r="L34">
        <v>57</v>
      </c>
      <c r="M34" t="s">
        <v>353</v>
      </c>
      <c r="N34" t="s">
        <v>354</v>
      </c>
      <c r="O34">
        <v>57</v>
      </c>
      <c r="P34" t="s">
        <v>353</v>
      </c>
      <c r="Q34" s="82" t="s">
        <v>602</v>
      </c>
      <c r="R34" s="83" t="s">
        <v>356</v>
      </c>
      <c r="S34" s="83"/>
      <c r="T34" s="83"/>
      <c r="U34" s="84"/>
      <c r="V34" s="84"/>
      <c r="W34" s="84"/>
      <c r="X34" s="83"/>
      <c r="Y34" s="83"/>
      <c r="Z34" s="83"/>
      <c r="AA34" t="s">
        <v>603</v>
      </c>
      <c r="AB34" t="s">
        <v>432</v>
      </c>
      <c r="AC34" t="s">
        <v>2054</v>
      </c>
      <c r="AD34" t="s">
        <v>2054</v>
      </c>
      <c r="AE34" s="83"/>
      <c r="AF34">
        <v>0</v>
      </c>
      <c r="AG34">
        <v>2</v>
      </c>
      <c r="AH34">
        <v>20</v>
      </c>
      <c r="AI34">
        <v>60</v>
      </c>
      <c r="AJ34">
        <v>0</v>
      </c>
      <c r="AK34">
        <v>0</v>
      </c>
      <c r="AL34">
        <v>0</v>
      </c>
      <c r="AM34">
        <v>0</v>
      </c>
      <c r="AN34">
        <v>0</v>
      </c>
      <c r="AO34">
        <v>9</v>
      </c>
      <c r="AP34">
        <v>330</v>
      </c>
      <c r="AQ34">
        <v>2</v>
      </c>
      <c r="AR34">
        <v>0</v>
      </c>
      <c r="AS34">
        <v>1.5</v>
      </c>
      <c r="AT34">
        <v>0</v>
      </c>
      <c r="AU34" s="83"/>
      <c r="AV34" s="83" t="s">
        <v>522</v>
      </c>
      <c r="AW34" s="83" t="s">
        <v>358</v>
      </c>
      <c r="AX34" s="83"/>
      <c r="AY34" s="83" t="s">
        <v>359</v>
      </c>
      <c r="AZ34" s="83" t="s">
        <v>359</v>
      </c>
      <c r="BA34" s="83" t="s">
        <v>359</v>
      </c>
      <c r="BB34" s="83" t="s">
        <v>359</v>
      </c>
      <c r="BC34" s="83" t="s">
        <v>359</v>
      </c>
      <c r="BD34" s="83" t="s">
        <v>359</v>
      </c>
      <c r="BE34" s="83" t="s">
        <v>359</v>
      </c>
      <c r="BF34" s="83" t="s">
        <v>359</v>
      </c>
      <c r="BG34" s="83" t="s">
        <v>359</v>
      </c>
      <c r="BH34" s="83" t="s">
        <v>2055</v>
      </c>
      <c r="BI34" s="83"/>
      <c r="BJ34" s="83"/>
      <c r="BK34" t="s">
        <v>1909</v>
      </c>
      <c r="BL34" t="s">
        <v>2056</v>
      </c>
      <c r="BM34" s="83" t="s">
        <v>2057</v>
      </c>
      <c r="BN34" s="83" t="b">
        <v>0</v>
      </c>
      <c r="BO34" s="89"/>
    </row>
    <row r="35" spans="1:67">
      <c r="A35" s="96">
        <v>100127</v>
      </c>
      <c r="B35" s="86" t="s">
        <v>2091</v>
      </c>
      <c r="C35" s="86" t="s">
        <v>53</v>
      </c>
      <c r="D35" s="83" t="s">
        <v>2132</v>
      </c>
      <c r="E35" s="89" t="s">
        <v>543</v>
      </c>
      <c r="F35" s="89" t="s">
        <v>544</v>
      </c>
      <c r="G35" s="86" t="s">
        <v>544</v>
      </c>
      <c r="H35" s="86" t="s">
        <v>545</v>
      </c>
      <c r="I35" s="86" t="s">
        <v>546</v>
      </c>
      <c r="J35" s="86" t="s">
        <v>546</v>
      </c>
      <c r="K35" s="86" t="s">
        <v>370</v>
      </c>
      <c r="L35" s="89">
        <v>56</v>
      </c>
      <c r="M35" s="89" t="s">
        <v>353</v>
      </c>
      <c r="N35" s="89" t="s">
        <v>354</v>
      </c>
      <c r="O35" s="89"/>
      <c r="P35" s="89"/>
      <c r="Q35" s="89" t="s">
        <v>501</v>
      </c>
      <c r="R35" s="86" t="s">
        <v>474</v>
      </c>
      <c r="S35" s="86"/>
      <c r="T35" s="86"/>
      <c r="U35" s="87"/>
      <c r="V35" s="87"/>
      <c r="W35" s="87"/>
      <c r="X35" s="86"/>
      <c r="Y35" s="86"/>
      <c r="Z35" s="86"/>
      <c r="AA35" s="86"/>
      <c r="AB35" s="87"/>
      <c r="AC35" s="87"/>
      <c r="AD35" s="86"/>
      <c r="AE35" s="86"/>
      <c r="AF35" s="86">
        <v>0</v>
      </c>
      <c r="AG35" s="86">
        <v>0</v>
      </c>
      <c r="AH35" s="86">
        <v>35</v>
      </c>
      <c r="AI35" s="86">
        <v>120</v>
      </c>
      <c r="AJ35" s="86">
        <v>4</v>
      </c>
      <c r="AK35" s="86">
        <v>0</v>
      </c>
      <c r="AL35" s="86">
        <v>0</v>
      </c>
      <c r="AM35" s="89">
        <v>0.72</v>
      </c>
      <c r="AN35" s="86">
        <v>0</v>
      </c>
      <c r="AO35" s="86">
        <v>10</v>
      </c>
      <c r="AP35" s="86">
        <v>150</v>
      </c>
      <c r="AQ35" s="86">
        <v>0</v>
      </c>
      <c r="AR35" s="86">
        <v>0</v>
      </c>
      <c r="AS35" s="86">
        <v>8</v>
      </c>
      <c r="AT35" s="86">
        <v>0</v>
      </c>
      <c r="AU35" s="86"/>
      <c r="AV35" s="86">
        <f>12*24</f>
        <v>288</v>
      </c>
      <c r="AW35" s="86" t="s">
        <v>372</v>
      </c>
      <c r="AX35" s="86" t="s">
        <v>373</v>
      </c>
      <c r="AY35" s="86" t="s">
        <v>359</v>
      </c>
      <c r="AZ35" s="86" t="s">
        <v>359</v>
      </c>
      <c r="BA35" s="86" t="s">
        <v>359</v>
      </c>
      <c r="BB35" s="86" t="s">
        <v>359</v>
      </c>
      <c r="BC35" s="86" t="s">
        <v>359</v>
      </c>
      <c r="BD35" s="86" t="s">
        <v>359</v>
      </c>
      <c r="BE35" s="86" t="s">
        <v>359</v>
      </c>
      <c r="BF35" s="86" t="s">
        <v>359</v>
      </c>
      <c r="BG35" s="86" t="s">
        <v>359</v>
      </c>
      <c r="BH35" s="86" t="s">
        <v>547</v>
      </c>
      <c r="BI35" s="86"/>
      <c r="BJ35" s="86"/>
      <c r="BK35" s="74">
        <v>45139.553761574083</v>
      </c>
      <c r="BL35" s="74">
        <v>45134.453900462962</v>
      </c>
      <c r="BM35" s="86" t="s">
        <v>548</v>
      </c>
      <c r="BN35" s="86" t="b">
        <v>0</v>
      </c>
      <c r="BO35" s="89"/>
    </row>
    <row r="36" spans="1:67">
      <c r="A36" s="100">
        <v>100134</v>
      </c>
      <c r="B36" s="89" t="s">
        <v>549</v>
      </c>
      <c r="C36" s="89" t="s">
        <v>53</v>
      </c>
      <c r="D36" s="89" t="s">
        <v>550</v>
      </c>
      <c r="E36" s="89" t="s">
        <v>551</v>
      </c>
      <c r="F36" s="89" t="s">
        <v>552</v>
      </c>
      <c r="G36" s="89" t="s">
        <v>552</v>
      </c>
      <c r="H36" s="82" t="s">
        <v>553</v>
      </c>
      <c r="I36" s="89" t="s">
        <v>554</v>
      </c>
      <c r="J36" s="89" t="s">
        <v>555</v>
      </c>
      <c r="K36" s="89"/>
      <c r="L36" s="89">
        <v>56</v>
      </c>
      <c r="M36" s="89" t="s">
        <v>353</v>
      </c>
      <c r="N36" s="89" t="s">
        <v>354</v>
      </c>
      <c r="O36" s="89">
        <v>56</v>
      </c>
      <c r="P36" s="89" t="s">
        <v>353</v>
      </c>
      <c r="Q36" s="89" t="s">
        <v>501</v>
      </c>
      <c r="R36" s="89" t="s">
        <v>356</v>
      </c>
      <c r="S36" s="89" t="s">
        <v>475</v>
      </c>
      <c r="T36" s="89"/>
      <c r="U36" s="93"/>
      <c r="V36" s="93"/>
      <c r="W36" s="93"/>
      <c r="X36" s="89"/>
      <c r="Y36" s="89"/>
      <c r="Z36" s="89"/>
      <c r="AA36" s="89"/>
      <c r="AB36" s="93"/>
      <c r="AC36" s="93"/>
      <c r="AD36" s="89"/>
      <c r="AE36" s="89"/>
      <c r="AF36" s="89">
        <v>23.55</v>
      </c>
      <c r="AG36" s="89">
        <v>1.8</v>
      </c>
      <c r="AH36" s="89">
        <v>29.6</v>
      </c>
      <c r="AI36" s="89">
        <v>112.05</v>
      </c>
      <c r="AJ36" s="89">
        <v>2.77</v>
      </c>
      <c r="AK36" s="89">
        <v>0.38</v>
      </c>
      <c r="AL36" s="89">
        <v>0.92</v>
      </c>
      <c r="AM36" s="89">
        <v>1.95</v>
      </c>
      <c r="AN36" s="89">
        <v>443.74</v>
      </c>
      <c r="AO36" s="89">
        <v>10.83</v>
      </c>
      <c r="AP36" s="89">
        <v>176.99</v>
      </c>
      <c r="AQ36" s="89">
        <v>0.47</v>
      </c>
      <c r="AR36" s="89">
        <v>0.4</v>
      </c>
      <c r="AS36" s="89">
        <v>6.16</v>
      </c>
      <c r="AT36" s="89">
        <v>0.05</v>
      </c>
      <c r="AU36" s="89"/>
      <c r="AV36" s="89" t="s">
        <v>556</v>
      </c>
      <c r="AW36" s="89" t="s">
        <v>358</v>
      </c>
      <c r="AX36" s="89"/>
      <c r="AY36" s="89" t="s">
        <v>359</v>
      </c>
      <c r="AZ36" s="89" t="s">
        <v>359</v>
      </c>
      <c r="BA36" s="89" t="s">
        <v>359</v>
      </c>
      <c r="BB36" s="89" t="s">
        <v>359</v>
      </c>
      <c r="BC36" s="89" t="s">
        <v>359</v>
      </c>
      <c r="BD36" s="89" t="s">
        <v>359</v>
      </c>
      <c r="BE36" s="89" t="s">
        <v>360</v>
      </c>
      <c r="BF36" s="89" t="s">
        <v>359</v>
      </c>
      <c r="BG36" s="89" t="s">
        <v>359</v>
      </c>
      <c r="BH36" s="82" t="s">
        <v>1831</v>
      </c>
      <c r="BI36" s="89"/>
      <c r="BJ36" s="89"/>
      <c r="BK36" s="74">
        <v>45383.415844907409</v>
      </c>
      <c r="BL36" s="74">
        <v>45355.449305555558</v>
      </c>
      <c r="BM36" s="89" t="s">
        <v>557</v>
      </c>
      <c r="BN36" s="89" t="b">
        <v>0</v>
      </c>
      <c r="BO36" s="89"/>
    </row>
    <row r="37" spans="1:67">
      <c r="A37" s="100">
        <v>100134</v>
      </c>
      <c r="B37" s="89" t="s">
        <v>549</v>
      </c>
      <c r="C37" s="89" t="s">
        <v>53</v>
      </c>
      <c r="D37" s="89" t="s">
        <v>558</v>
      </c>
      <c r="E37" s="89" t="s">
        <v>559</v>
      </c>
      <c r="F37" s="89" t="s">
        <v>560</v>
      </c>
      <c r="G37" s="89" t="s">
        <v>561</v>
      </c>
      <c r="H37" s="89" t="s">
        <v>562</v>
      </c>
      <c r="I37" s="89" t="s">
        <v>562</v>
      </c>
      <c r="J37" s="89" t="s">
        <v>563</v>
      </c>
      <c r="K37" s="89" t="s">
        <v>370</v>
      </c>
      <c r="L37" s="89">
        <v>56.7</v>
      </c>
      <c r="M37" s="89" t="s">
        <v>353</v>
      </c>
      <c r="N37" s="89" t="s">
        <v>354</v>
      </c>
      <c r="O37" s="89">
        <v>56.7</v>
      </c>
      <c r="P37" s="89" t="s">
        <v>353</v>
      </c>
      <c r="Q37" s="89" t="s">
        <v>501</v>
      </c>
      <c r="R37" s="89" t="s">
        <v>564</v>
      </c>
      <c r="S37" s="103" t="s">
        <v>565</v>
      </c>
      <c r="T37" s="89"/>
      <c r="U37" s="93"/>
      <c r="V37" s="93"/>
      <c r="W37" s="93"/>
      <c r="X37" s="89"/>
      <c r="Y37" s="103" t="s">
        <v>566</v>
      </c>
      <c r="Z37" s="89"/>
      <c r="AA37" s="89"/>
      <c r="AB37" s="93"/>
      <c r="AC37" s="93"/>
      <c r="AD37" s="89"/>
      <c r="AE37" s="89"/>
      <c r="AF37" s="89">
        <v>17</v>
      </c>
      <c r="AG37" s="89">
        <v>1.2</v>
      </c>
      <c r="AH37" s="89">
        <v>28</v>
      </c>
      <c r="AI37" s="89">
        <v>109</v>
      </c>
      <c r="AJ37" s="89">
        <v>2.8</v>
      </c>
      <c r="AK37" s="89">
        <v>0</v>
      </c>
      <c r="AL37" s="89">
        <v>0.8</v>
      </c>
      <c r="AM37" s="89">
        <v>1.2</v>
      </c>
      <c r="AN37" s="89"/>
      <c r="AO37" s="89">
        <v>10.5</v>
      </c>
      <c r="AP37" s="89">
        <v>193</v>
      </c>
      <c r="AQ37" s="89">
        <v>0.1</v>
      </c>
      <c r="AR37" s="89"/>
      <c r="AS37" s="89">
        <v>6.9</v>
      </c>
      <c r="AT37" s="89"/>
      <c r="AU37" s="89"/>
      <c r="AV37" s="89" t="s">
        <v>522</v>
      </c>
      <c r="AW37" s="89" t="s">
        <v>358</v>
      </c>
      <c r="AX37" s="89" t="s">
        <v>373</v>
      </c>
      <c r="AY37" s="89"/>
      <c r="AZ37" s="89"/>
      <c r="BA37" s="89"/>
      <c r="BB37" s="89"/>
      <c r="BC37" s="89"/>
      <c r="BD37" s="89"/>
      <c r="BE37" s="89" t="s">
        <v>360</v>
      </c>
      <c r="BF37" s="89"/>
      <c r="BG37" s="89"/>
      <c r="BH37" s="89" t="s">
        <v>567</v>
      </c>
      <c r="BI37" s="89"/>
      <c r="BJ37" s="89"/>
      <c r="BK37" s="74">
        <v>45078.380173611113</v>
      </c>
      <c r="BL37" s="74">
        <v>44924.437592592592</v>
      </c>
      <c r="BM37" s="89" t="s">
        <v>568</v>
      </c>
      <c r="BN37" s="89" t="b">
        <v>0</v>
      </c>
      <c r="BO37" s="89"/>
    </row>
    <row r="38" spans="1:67">
      <c r="A38" s="73">
        <v>100139</v>
      </c>
      <c r="B38" s="82" t="s">
        <v>2092</v>
      </c>
      <c r="C38" s="82" t="s">
        <v>180</v>
      </c>
      <c r="D38" s="82" t="s">
        <v>569</v>
      </c>
      <c r="E38" s="82" t="s">
        <v>570</v>
      </c>
      <c r="F38" s="82" t="s">
        <v>544</v>
      </c>
      <c r="G38" s="82" t="s">
        <v>544</v>
      </c>
      <c r="H38" s="82" t="s">
        <v>1945</v>
      </c>
      <c r="I38" s="82" t="s">
        <v>571</v>
      </c>
      <c r="J38" s="82" t="s">
        <v>571</v>
      </c>
      <c r="K38" s="82" t="s">
        <v>370</v>
      </c>
      <c r="L38" s="82">
        <v>56</v>
      </c>
      <c r="M38" s="82" t="s">
        <v>353</v>
      </c>
      <c r="N38" s="82" t="s">
        <v>354</v>
      </c>
      <c r="O38" s="82">
        <v>56</v>
      </c>
      <c r="P38" s="82" t="s">
        <v>353</v>
      </c>
      <c r="Q38" s="82" t="s">
        <v>501</v>
      </c>
      <c r="R38" s="82" t="s">
        <v>474</v>
      </c>
      <c r="S38" s="82"/>
      <c r="T38" s="82"/>
      <c r="U38" s="82"/>
      <c r="V38" s="82"/>
      <c r="W38" s="82"/>
      <c r="X38" s="82"/>
      <c r="Y38" s="82"/>
      <c r="Z38" s="82"/>
      <c r="AA38" s="82"/>
      <c r="AB38" s="82"/>
      <c r="AC38" s="82"/>
      <c r="AD38" s="82"/>
      <c r="AE38" s="82"/>
      <c r="AF38" s="82">
        <v>0</v>
      </c>
      <c r="AG38" s="82">
        <v>0</v>
      </c>
      <c r="AH38" s="82">
        <v>35</v>
      </c>
      <c r="AI38" s="82">
        <v>120</v>
      </c>
      <c r="AJ38" s="82">
        <v>3</v>
      </c>
      <c r="AK38" s="82">
        <v>0</v>
      </c>
      <c r="AL38" s="82">
        <v>0</v>
      </c>
      <c r="AM38" s="82">
        <v>0.36</v>
      </c>
      <c r="AN38" s="82">
        <v>0</v>
      </c>
      <c r="AO38" s="82">
        <v>9</v>
      </c>
      <c r="AP38" s="82">
        <v>150</v>
      </c>
      <c r="AQ38" s="82">
        <v>0</v>
      </c>
      <c r="AR38" s="82">
        <v>0</v>
      </c>
      <c r="AS38" s="82">
        <v>8</v>
      </c>
      <c r="AT38" s="82">
        <v>0</v>
      </c>
      <c r="AU38" s="82" t="s">
        <v>502</v>
      </c>
      <c r="AV38" s="101">
        <f>12*24</f>
        <v>288</v>
      </c>
      <c r="AW38" s="82" t="s">
        <v>372</v>
      </c>
      <c r="AX38" s="107" t="b">
        <v>1</v>
      </c>
      <c r="AY38" s="82" t="s">
        <v>359</v>
      </c>
      <c r="AZ38" s="82" t="s">
        <v>359</v>
      </c>
      <c r="BA38" s="82" t="s">
        <v>359</v>
      </c>
      <c r="BB38" s="82" t="s">
        <v>359</v>
      </c>
      <c r="BC38" s="82" t="s">
        <v>359</v>
      </c>
      <c r="BD38" s="82" t="s">
        <v>359</v>
      </c>
      <c r="BE38" s="82" t="s">
        <v>359</v>
      </c>
      <c r="BF38" s="82" t="s">
        <v>359</v>
      </c>
      <c r="BG38" s="82" t="s">
        <v>359</v>
      </c>
      <c r="BH38" s="82" t="s">
        <v>547</v>
      </c>
      <c r="BI38" s="82"/>
      <c r="BJ38" s="82"/>
      <c r="BK38" s="82" t="s">
        <v>1909</v>
      </c>
      <c r="BL38" s="82" t="s">
        <v>1946</v>
      </c>
      <c r="BM38" s="82" t="s">
        <v>572</v>
      </c>
      <c r="BN38" s="82" t="b">
        <v>0</v>
      </c>
      <c r="BO38" s="89"/>
    </row>
    <row r="39" spans="1:67">
      <c r="A39" s="85">
        <v>100158</v>
      </c>
      <c r="B39" s="83" t="s">
        <v>2093</v>
      </c>
      <c r="C39" s="83" t="s">
        <v>53</v>
      </c>
      <c r="D39" s="83" t="s">
        <v>573</v>
      </c>
      <c r="E39" s="83" t="s">
        <v>574</v>
      </c>
      <c r="F39" s="83" t="s">
        <v>575</v>
      </c>
      <c r="G39" s="83" t="s">
        <v>576</v>
      </c>
      <c r="H39" s="83"/>
      <c r="I39" s="83" t="s">
        <v>577</v>
      </c>
      <c r="J39" s="83" t="s">
        <v>578</v>
      </c>
      <c r="K39" s="83" t="s">
        <v>370</v>
      </c>
      <c r="L39" s="83">
        <v>100</v>
      </c>
      <c r="M39" s="83" t="s">
        <v>353</v>
      </c>
      <c r="N39" s="83" t="s">
        <v>419</v>
      </c>
      <c r="O39" s="83">
        <v>100</v>
      </c>
      <c r="P39" s="83" t="s">
        <v>353</v>
      </c>
      <c r="Q39" s="82" t="s">
        <v>579</v>
      </c>
      <c r="R39" s="83" t="s">
        <v>474</v>
      </c>
      <c r="S39" s="83"/>
      <c r="T39" s="83"/>
      <c r="U39" s="84"/>
      <c r="V39" s="84"/>
      <c r="W39" s="84"/>
      <c r="X39" s="83"/>
      <c r="Y39" s="83"/>
      <c r="Z39" s="83"/>
      <c r="AA39" s="83"/>
      <c r="AB39" s="84"/>
      <c r="AC39" s="84"/>
      <c r="AD39" s="83"/>
      <c r="AE39" s="83"/>
      <c r="AF39" s="83">
        <v>0</v>
      </c>
      <c r="AG39" s="83">
        <v>0</v>
      </c>
      <c r="AH39" s="83">
        <v>67</v>
      </c>
      <c r="AI39" s="83">
        <v>210</v>
      </c>
      <c r="AJ39" s="83">
        <v>6</v>
      </c>
      <c r="AK39" s="83">
        <v>0</v>
      </c>
      <c r="AL39" s="83">
        <v>0</v>
      </c>
      <c r="AM39" s="82">
        <v>2</v>
      </c>
      <c r="AN39" s="83"/>
      <c r="AO39" s="83">
        <v>18</v>
      </c>
      <c r="AP39" s="83">
        <v>70</v>
      </c>
      <c r="AQ39" s="83">
        <v>0</v>
      </c>
      <c r="AR39" s="83"/>
      <c r="AS39" s="83">
        <v>15</v>
      </c>
      <c r="AT39" s="83"/>
      <c r="AU39" s="83" t="s">
        <v>580</v>
      </c>
      <c r="AV39" s="82">
        <v>181</v>
      </c>
      <c r="AW39" s="83" t="s">
        <v>358</v>
      </c>
      <c r="AX39" s="83"/>
      <c r="AY39" s="83" t="s">
        <v>476</v>
      </c>
      <c r="AZ39" s="83" t="s">
        <v>476</v>
      </c>
      <c r="BA39" s="83" t="s">
        <v>476</v>
      </c>
      <c r="BB39" s="83" t="s">
        <v>476</v>
      </c>
      <c r="BC39" s="83" t="s">
        <v>476</v>
      </c>
      <c r="BD39" s="83" t="s">
        <v>476</v>
      </c>
      <c r="BE39" s="83" t="s">
        <v>476</v>
      </c>
      <c r="BF39" s="83" t="s">
        <v>476</v>
      </c>
      <c r="BG39" s="83" t="s">
        <v>476</v>
      </c>
      <c r="BH39" s="83" t="s">
        <v>581</v>
      </c>
      <c r="BI39" s="83"/>
      <c r="BJ39" s="83"/>
      <c r="BK39" s="74">
        <v>45170.40079861111</v>
      </c>
      <c r="BL39" s="74">
        <v>45051.424803240741</v>
      </c>
      <c r="BM39" s="83" t="s">
        <v>53</v>
      </c>
      <c r="BN39" s="83" t="b">
        <v>0</v>
      </c>
      <c r="BO39" s="89"/>
    </row>
    <row r="40" spans="1:67">
      <c r="A40" s="96">
        <v>100158</v>
      </c>
      <c r="B40" s="86" t="s">
        <v>2093</v>
      </c>
      <c r="C40" s="86" t="s">
        <v>53</v>
      </c>
      <c r="D40" s="86" t="s">
        <v>582</v>
      </c>
      <c r="E40" s="86" t="s">
        <v>583</v>
      </c>
      <c r="F40" s="86" t="s">
        <v>584</v>
      </c>
      <c r="G40" s="86" t="s">
        <v>584</v>
      </c>
      <c r="H40" t="s">
        <v>2093</v>
      </c>
      <c r="I40" s="86" t="s">
        <v>585</v>
      </c>
      <c r="J40" s="86" t="s">
        <v>578</v>
      </c>
      <c r="K40" s="86" t="s">
        <v>370</v>
      </c>
      <c r="L40" s="86">
        <v>112</v>
      </c>
      <c r="M40" s="86" t="s">
        <v>353</v>
      </c>
      <c r="N40" s="89" t="s">
        <v>354</v>
      </c>
      <c r="O40" s="89">
        <v>112</v>
      </c>
      <c r="P40" s="89" t="s">
        <v>353</v>
      </c>
      <c r="Q40" s="89" t="s">
        <v>586</v>
      </c>
      <c r="R40" s="86" t="s">
        <v>474</v>
      </c>
      <c r="S40" s="83"/>
      <c r="T40" s="83"/>
      <c r="U40" s="84"/>
      <c r="V40" s="84"/>
      <c r="W40" s="84"/>
      <c r="X40" s="83"/>
      <c r="Y40" s="83"/>
      <c r="Z40" s="83"/>
      <c r="AA40" s="83"/>
      <c r="AB40" s="84"/>
      <c r="AC40" s="84"/>
      <c r="AD40" s="83"/>
      <c r="AE40" s="83"/>
      <c r="AF40" s="83"/>
      <c r="AG40" s="86">
        <v>0</v>
      </c>
      <c r="AH40" s="86">
        <v>70</v>
      </c>
      <c r="AI40" s="89">
        <v>240</v>
      </c>
      <c r="AJ40" s="86">
        <v>7</v>
      </c>
      <c r="AK40" s="86">
        <v>0</v>
      </c>
      <c r="AL40" s="86">
        <v>0</v>
      </c>
      <c r="AM40" s="86">
        <v>1</v>
      </c>
      <c r="AN40" s="86">
        <v>0</v>
      </c>
      <c r="AO40" s="86">
        <v>22</v>
      </c>
      <c r="AP40" s="86">
        <v>65</v>
      </c>
      <c r="AQ40" s="86">
        <v>0</v>
      </c>
      <c r="AR40" s="86">
        <v>0</v>
      </c>
      <c r="AS40" s="86">
        <v>17</v>
      </c>
      <c r="AT40" s="86">
        <v>0</v>
      </c>
      <c r="AU40" s="86" t="s">
        <v>587</v>
      </c>
      <c r="AV40" s="86" t="s">
        <v>491</v>
      </c>
      <c r="AW40" s="86" t="s">
        <v>358</v>
      </c>
      <c r="AX40" s="86"/>
      <c r="AY40" s="86" t="s">
        <v>359</v>
      </c>
      <c r="AZ40" s="86" t="s">
        <v>359</v>
      </c>
      <c r="BA40" s="86" t="s">
        <v>359</v>
      </c>
      <c r="BB40" s="86" t="s">
        <v>359</v>
      </c>
      <c r="BC40" s="86" t="s">
        <v>359</v>
      </c>
      <c r="BD40" s="86" t="s">
        <v>359</v>
      </c>
      <c r="BE40" s="86" t="s">
        <v>359</v>
      </c>
      <c r="BF40" s="86" t="s">
        <v>359</v>
      </c>
      <c r="BG40" s="86" t="s">
        <v>359</v>
      </c>
      <c r="BH40" s="89" t="s">
        <v>588</v>
      </c>
      <c r="BI40" s="86"/>
      <c r="BJ40" s="86"/>
      <c r="BK40" t="s">
        <v>2297</v>
      </c>
      <c r="BL40" t="s">
        <v>2350</v>
      </c>
      <c r="BM40" s="86" t="s">
        <v>589</v>
      </c>
      <c r="BN40" s="86" t="b">
        <v>0</v>
      </c>
      <c r="BO40" s="89"/>
    </row>
    <row r="41" spans="1:67">
      <c r="A41" s="85">
        <v>100158</v>
      </c>
      <c r="B41" s="86" t="s">
        <v>2093</v>
      </c>
      <c r="C41" s="86" t="s">
        <v>53</v>
      </c>
      <c r="D41" s="86" t="s">
        <v>590</v>
      </c>
      <c r="E41" s="86" t="s">
        <v>583</v>
      </c>
      <c r="F41" s="86" t="s">
        <v>591</v>
      </c>
      <c r="G41" s="86" t="s">
        <v>592</v>
      </c>
      <c r="H41" s="86"/>
      <c r="I41" s="86" t="s">
        <v>585</v>
      </c>
      <c r="J41" s="86" t="s">
        <v>578</v>
      </c>
      <c r="K41" s="86" t="s">
        <v>370</v>
      </c>
      <c r="L41" s="86">
        <v>112</v>
      </c>
      <c r="M41" s="86" t="s">
        <v>353</v>
      </c>
      <c r="N41" s="89" t="s">
        <v>354</v>
      </c>
      <c r="O41" s="89">
        <v>112</v>
      </c>
      <c r="P41" s="89" t="s">
        <v>353</v>
      </c>
      <c r="Q41" s="89" t="s">
        <v>586</v>
      </c>
      <c r="R41" s="86" t="s">
        <v>474</v>
      </c>
      <c r="S41" s="83"/>
      <c r="T41" s="83"/>
      <c r="U41" s="84"/>
      <c r="V41" s="84"/>
      <c r="W41" s="84"/>
      <c r="X41" s="83"/>
      <c r="Y41" s="83"/>
      <c r="Z41" s="83"/>
      <c r="AA41" s="83"/>
      <c r="AB41" s="84"/>
      <c r="AC41" s="84"/>
      <c r="AD41" s="83"/>
      <c r="AE41" s="83"/>
      <c r="AF41" s="86">
        <v>0</v>
      </c>
      <c r="AG41" s="86">
        <v>0</v>
      </c>
      <c r="AH41" s="89">
        <v>70</v>
      </c>
      <c r="AI41" s="89">
        <v>240</v>
      </c>
      <c r="AJ41" s="89">
        <v>7</v>
      </c>
      <c r="AK41" s="89">
        <v>0</v>
      </c>
      <c r="AL41" s="89">
        <v>0</v>
      </c>
      <c r="AM41" s="89">
        <v>1</v>
      </c>
      <c r="AN41" s="89">
        <v>0</v>
      </c>
      <c r="AO41" s="89">
        <v>22</v>
      </c>
      <c r="AP41" s="89">
        <v>65</v>
      </c>
      <c r="AQ41" s="89">
        <v>0</v>
      </c>
      <c r="AR41" s="89">
        <v>0</v>
      </c>
      <c r="AS41" s="89">
        <v>17</v>
      </c>
      <c r="AT41" s="86">
        <v>0</v>
      </c>
      <c r="AU41" s="86" t="s">
        <v>587</v>
      </c>
      <c r="AV41" s="86" t="s">
        <v>491</v>
      </c>
      <c r="AW41" s="86" t="s">
        <v>358</v>
      </c>
      <c r="AX41" s="86"/>
      <c r="AY41" s="86" t="s">
        <v>359</v>
      </c>
      <c r="AZ41" s="86" t="s">
        <v>359</v>
      </c>
      <c r="BA41" s="89" t="s">
        <v>359</v>
      </c>
      <c r="BB41" s="89" t="s">
        <v>359</v>
      </c>
      <c r="BC41" s="89" t="s">
        <v>359</v>
      </c>
      <c r="BD41" s="89" t="s">
        <v>359</v>
      </c>
      <c r="BE41" s="89" t="s">
        <v>359</v>
      </c>
      <c r="BF41" s="89" t="s">
        <v>359</v>
      </c>
      <c r="BG41" s="89" t="s">
        <v>359</v>
      </c>
      <c r="BH41" s="89" t="s">
        <v>588</v>
      </c>
      <c r="BI41" s="82"/>
      <c r="BJ41" s="82"/>
      <c r="BK41" s="74">
        <v>45231.376331018517</v>
      </c>
      <c r="BL41" s="74">
        <v>45222.331041666657</v>
      </c>
      <c r="BM41" s="89" t="s">
        <v>589</v>
      </c>
      <c r="BN41" s="89" t="b">
        <v>0</v>
      </c>
      <c r="BO41" s="83"/>
    </row>
    <row r="42" spans="1:67">
      <c r="A42" s="85">
        <v>100163</v>
      </c>
      <c r="B42" s="83" t="s">
        <v>2103</v>
      </c>
      <c r="C42" s="83" t="s">
        <v>53</v>
      </c>
      <c r="D42" s="83" t="s">
        <v>593</v>
      </c>
      <c r="E42" s="83" t="s">
        <v>574</v>
      </c>
      <c r="F42" s="83" t="s">
        <v>575</v>
      </c>
      <c r="G42" s="83" t="s">
        <v>576</v>
      </c>
      <c r="H42" s="83"/>
      <c r="I42" s="83" t="s">
        <v>594</v>
      </c>
      <c r="J42" s="83" t="s">
        <v>578</v>
      </c>
      <c r="K42" s="83" t="s">
        <v>370</v>
      </c>
      <c r="L42" s="83">
        <v>88</v>
      </c>
      <c r="M42" s="83" t="s">
        <v>353</v>
      </c>
      <c r="N42" s="83" t="s">
        <v>419</v>
      </c>
      <c r="O42" s="82">
        <v>88</v>
      </c>
      <c r="P42" s="82" t="s">
        <v>353</v>
      </c>
      <c r="Q42" s="82" t="s">
        <v>595</v>
      </c>
      <c r="R42" s="83" t="s">
        <v>474</v>
      </c>
      <c r="S42" s="83"/>
      <c r="T42" s="83"/>
      <c r="U42" s="84"/>
      <c r="V42" s="84"/>
      <c r="W42" s="84"/>
      <c r="X42" s="83"/>
      <c r="Y42" s="83"/>
      <c r="Z42" s="83"/>
      <c r="AA42" s="83"/>
      <c r="AB42" s="84"/>
      <c r="AC42" s="84"/>
      <c r="AD42" s="83"/>
      <c r="AE42" s="83"/>
      <c r="AF42" s="82">
        <v>0</v>
      </c>
      <c r="AG42" s="82">
        <v>2</v>
      </c>
      <c r="AH42" s="82">
        <v>40</v>
      </c>
      <c r="AI42" s="82">
        <v>100</v>
      </c>
      <c r="AJ42" s="82">
        <v>1.5</v>
      </c>
      <c r="AK42" s="82">
        <v>0</v>
      </c>
      <c r="AL42" s="82">
        <v>0</v>
      </c>
      <c r="AM42" s="82">
        <v>2</v>
      </c>
      <c r="AN42" s="82"/>
      <c r="AO42" s="82">
        <v>15</v>
      </c>
      <c r="AP42" s="82">
        <v>170</v>
      </c>
      <c r="AQ42" s="82">
        <v>0</v>
      </c>
      <c r="AR42" s="82"/>
      <c r="AS42" s="82">
        <v>3.5</v>
      </c>
      <c r="AT42" s="83"/>
      <c r="AU42" s="83" t="s">
        <v>502</v>
      </c>
      <c r="AV42" s="82">
        <v>205</v>
      </c>
      <c r="AW42" s="83" t="s">
        <v>358</v>
      </c>
      <c r="AX42" s="83"/>
      <c r="AY42" s="83" t="s">
        <v>476</v>
      </c>
      <c r="AZ42" s="83" t="s">
        <v>476</v>
      </c>
      <c r="BA42" s="83" t="s">
        <v>476</v>
      </c>
      <c r="BB42" s="83" t="s">
        <v>476</v>
      </c>
      <c r="BC42" s="83" t="s">
        <v>476</v>
      </c>
      <c r="BD42" s="83" t="s">
        <v>476</v>
      </c>
      <c r="BE42" s="83" t="s">
        <v>476</v>
      </c>
      <c r="BF42" s="83" t="s">
        <v>476</v>
      </c>
      <c r="BG42" s="83" t="s">
        <v>476</v>
      </c>
      <c r="BH42" s="83" t="s">
        <v>581</v>
      </c>
      <c r="BI42" s="83"/>
      <c r="BJ42" s="83"/>
      <c r="BK42" s="74">
        <v>45170.395416666674</v>
      </c>
      <c r="BL42" s="74">
        <v>45051.45349537037</v>
      </c>
      <c r="BM42" s="83" t="s">
        <v>596</v>
      </c>
      <c r="BN42" s="83" t="b">
        <v>0</v>
      </c>
      <c r="BO42" s="83"/>
    </row>
    <row r="43" spans="1:67">
      <c r="A43" s="73">
        <v>100187</v>
      </c>
      <c r="B43" s="82" t="s">
        <v>185</v>
      </c>
      <c r="C43" s="83" t="s">
        <v>180</v>
      </c>
      <c r="D43" s="83" t="s">
        <v>607</v>
      </c>
      <c r="E43" s="83" t="s">
        <v>598</v>
      </c>
      <c r="F43" s="83" t="s">
        <v>599</v>
      </c>
      <c r="G43" s="83" t="s">
        <v>600</v>
      </c>
      <c r="H43" s="83" t="s">
        <v>608</v>
      </c>
      <c r="I43" s="83" t="s">
        <v>609</v>
      </c>
      <c r="J43" s="83" t="s">
        <v>601</v>
      </c>
      <c r="K43" s="83" t="s">
        <v>370</v>
      </c>
      <c r="L43" s="82">
        <v>57</v>
      </c>
      <c r="M43" s="82" t="s">
        <v>353</v>
      </c>
      <c r="N43" s="82" t="s">
        <v>354</v>
      </c>
      <c r="O43" s="82">
        <v>57</v>
      </c>
      <c r="P43" s="82" t="s">
        <v>353</v>
      </c>
      <c r="Q43" s="82" t="s">
        <v>602</v>
      </c>
      <c r="R43" s="83" t="s">
        <v>356</v>
      </c>
      <c r="S43" s="89" t="s">
        <v>475</v>
      </c>
      <c r="T43" s="83"/>
      <c r="U43" s="84"/>
      <c r="V43" s="84"/>
      <c r="W43" s="84"/>
      <c r="X43" s="83"/>
      <c r="Y43" s="83"/>
      <c r="Z43" s="83"/>
      <c r="AA43" s="82" t="s">
        <v>603</v>
      </c>
      <c r="AB43" s="82" t="s">
        <v>432</v>
      </c>
      <c r="AC43" s="82" t="s">
        <v>604</v>
      </c>
      <c r="AD43" s="82" t="s">
        <v>604</v>
      </c>
      <c r="AE43" s="83"/>
      <c r="AF43" s="82">
        <v>4</v>
      </c>
      <c r="AG43" s="82">
        <v>1</v>
      </c>
      <c r="AH43" s="82">
        <v>25</v>
      </c>
      <c r="AI43" s="82">
        <v>50</v>
      </c>
      <c r="AJ43" s="82">
        <v>0</v>
      </c>
      <c r="AK43" s="82">
        <v>0</v>
      </c>
      <c r="AL43" s="82">
        <v>0</v>
      </c>
      <c r="AM43" s="82">
        <v>0.2</v>
      </c>
      <c r="AN43" s="82">
        <v>503</v>
      </c>
      <c r="AO43" s="82">
        <v>9</v>
      </c>
      <c r="AP43" s="82">
        <v>350</v>
      </c>
      <c r="AQ43" s="82">
        <v>1</v>
      </c>
      <c r="AR43" s="82">
        <v>0</v>
      </c>
      <c r="AS43" s="82">
        <v>1</v>
      </c>
      <c r="AT43" s="82">
        <v>0</v>
      </c>
      <c r="AU43" s="83"/>
      <c r="AV43" s="83" t="s">
        <v>522</v>
      </c>
      <c r="AW43" s="83" t="s">
        <v>358</v>
      </c>
      <c r="AX43" s="83"/>
      <c r="AY43" s="83" t="s">
        <v>359</v>
      </c>
      <c r="AZ43" s="83" t="s">
        <v>359</v>
      </c>
      <c r="BA43" s="83" t="s">
        <v>359</v>
      </c>
      <c r="BB43" s="83" t="s">
        <v>359</v>
      </c>
      <c r="BC43" s="82" t="s">
        <v>359</v>
      </c>
      <c r="BD43" s="82" t="s">
        <v>359</v>
      </c>
      <c r="BE43" s="82" t="s">
        <v>359</v>
      </c>
      <c r="BF43" s="82" t="s">
        <v>359</v>
      </c>
      <c r="BG43" s="82" t="s">
        <v>359</v>
      </c>
      <c r="BH43" s="82" t="s">
        <v>605</v>
      </c>
      <c r="BI43" s="83"/>
      <c r="BJ43" s="83"/>
      <c r="BK43" s="74">
        <v>45170.398425925923</v>
      </c>
      <c r="BL43" s="74">
        <v>45162.064837962957</v>
      </c>
      <c r="BM43" s="83" t="s">
        <v>606</v>
      </c>
      <c r="BN43" s="83" t="b">
        <v>0</v>
      </c>
      <c r="BO43" s="83"/>
    </row>
    <row r="44" spans="1:67" ht="28.8">
      <c r="A44" s="100">
        <v>100195</v>
      </c>
      <c r="B44" s="89" t="s">
        <v>610</v>
      </c>
      <c r="C44" s="89" t="s">
        <v>91</v>
      </c>
      <c r="D44" s="89" t="s">
        <v>611</v>
      </c>
      <c r="E44" s="89" t="s">
        <v>612</v>
      </c>
      <c r="F44" s="89" t="s">
        <v>613</v>
      </c>
      <c r="G44" s="89" t="s">
        <v>614</v>
      </c>
      <c r="H44" s="89" t="s">
        <v>615</v>
      </c>
      <c r="I44" s="89" t="s">
        <v>616</v>
      </c>
      <c r="J44" s="89" t="s">
        <v>617</v>
      </c>
      <c r="K44" s="89" t="s">
        <v>370</v>
      </c>
      <c r="L44" s="89">
        <v>85</v>
      </c>
      <c r="M44" s="89" t="s">
        <v>353</v>
      </c>
      <c r="N44" s="89" t="s">
        <v>354</v>
      </c>
      <c r="O44" s="89">
        <v>85</v>
      </c>
      <c r="P44" s="89" t="s">
        <v>353</v>
      </c>
      <c r="Q44" s="89" t="s">
        <v>1830</v>
      </c>
      <c r="R44" s="89" t="s">
        <v>371</v>
      </c>
      <c r="S44" s="89"/>
      <c r="T44" s="89"/>
      <c r="U44" s="93"/>
      <c r="V44" s="93"/>
      <c r="W44" s="93"/>
      <c r="X44" s="89"/>
      <c r="Y44" s="89"/>
      <c r="Z44" s="89"/>
      <c r="AA44" s="89" t="s">
        <v>618</v>
      </c>
      <c r="AB44" s="93" t="s">
        <v>432</v>
      </c>
      <c r="AC44" s="93" t="s">
        <v>619</v>
      </c>
      <c r="AD44" s="89" t="s">
        <v>620</v>
      </c>
      <c r="AE44" s="89"/>
      <c r="AF44" s="89">
        <v>10</v>
      </c>
      <c r="AG44" s="89">
        <v>1</v>
      </c>
      <c r="AH44" s="89">
        <v>40</v>
      </c>
      <c r="AI44" s="89">
        <v>80</v>
      </c>
      <c r="AJ44" s="89">
        <v>0.5</v>
      </c>
      <c r="AK44" s="89">
        <v>0</v>
      </c>
      <c r="AL44" s="89">
        <v>0</v>
      </c>
      <c r="AM44" s="89">
        <v>0.8</v>
      </c>
      <c r="AN44" s="89">
        <v>130</v>
      </c>
      <c r="AO44" s="89">
        <v>16</v>
      </c>
      <c r="AP44" s="89">
        <v>380</v>
      </c>
      <c r="AQ44" s="89">
        <v>0</v>
      </c>
      <c r="AR44" s="89">
        <v>0</v>
      </c>
      <c r="AS44" s="89">
        <v>1</v>
      </c>
      <c r="AT44" s="89">
        <v>1</v>
      </c>
      <c r="AU44" s="89"/>
      <c r="AV44" s="89">
        <f>16*6</f>
        <v>96</v>
      </c>
      <c r="AW44" s="89" t="s">
        <v>372</v>
      </c>
      <c r="AX44" s="89" t="s">
        <v>373</v>
      </c>
      <c r="AY44" s="89"/>
      <c r="AZ44" s="89" t="s">
        <v>360</v>
      </c>
      <c r="BA44" s="89"/>
      <c r="BB44" s="89"/>
      <c r="BC44" s="89"/>
      <c r="BD44" s="89"/>
      <c r="BE44" s="89"/>
      <c r="BF44" s="89"/>
      <c r="BG44" s="89"/>
      <c r="BH44" s="89" t="s">
        <v>621</v>
      </c>
      <c r="BI44" s="89" t="s">
        <v>622</v>
      </c>
      <c r="BJ44" s="89"/>
      <c r="BK44" s="74">
        <v>44958.433379629627</v>
      </c>
      <c r="BL44" s="74">
        <v>45014.727800925917</v>
      </c>
      <c r="BM44" s="89" t="s">
        <v>623</v>
      </c>
      <c r="BN44" s="89" t="b">
        <v>0</v>
      </c>
      <c r="BO44" s="83"/>
    </row>
    <row r="45" spans="1:67">
      <c r="A45" s="100">
        <v>100206</v>
      </c>
      <c r="B45" s="89" t="s">
        <v>96</v>
      </c>
      <c r="C45" s="89" t="s">
        <v>95</v>
      </c>
      <c r="D45" s="89" t="s">
        <v>624</v>
      </c>
      <c r="E45" s="89" t="s">
        <v>625</v>
      </c>
      <c r="F45" s="89" t="s">
        <v>626</v>
      </c>
      <c r="G45" s="89" t="s">
        <v>626</v>
      </c>
      <c r="H45" s="89" t="s">
        <v>627</v>
      </c>
      <c r="I45" s="89" t="s">
        <v>628</v>
      </c>
      <c r="J45" s="89" t="s">
        <v>629</v>
      </c>
      <c r="K45" s="89"/>
      <c r="L45" s="89">
        <v>140</v>
      </c>
      <c r="M45" s="89" t="s">
        <v>353</v>
      </c>
      <c r="N45" s="89" t="s">
        <v>354</v>
      </c>
      <c r="O45" s="89">
        <v>140</v>
      </c>
      <c r="P45" s="89" t="s">
        <v>353</v>
      </c>
      <c r="Q45" s="89" t="s">
        <v>630</v>
      </c>
      <c r="R45" s="89" t="s">
        <v>474</v>
      </c>
      <c r="S45" s="89"/>
      <c r="T45" s="89"/>
      <c r="U45" s="93"/>
      <c r="V45" s="93"/>
      <c r="W45" s="93"/>
      <c r="X45" s="89"/>
      <c r="Y45" s="89"/>
      <c r="Z45" s="89"/>
      <c r="AA45" s="89"/>
      <c r="AB45" s="93"/>
      <c r="AC45" s="93"/>
      <c r="AD45" s="89"/>
      <c r="AE45" s="89"/>
      <c r="AF45" s="89">
        <v>0</v>
      </c>
      <c r="AG45" s="89">
        <v>14</v>
      </c>
      <c r="AH45" s="89">
        <v>0</v>
      </c>
      <c r="AI45" s="89">
        <v>60</v>
      </c>
      <c r="AJ45" s="89">
        <v>0</v>
      </c>
      <c r="AK45" s="89">
        <v>0</v>
      </c>
      <c r="AL45" s="89">
        <v>2</v>
      </c>
      <c r="AM45" s="89">
        <v>0</v>
      </c>
      <c r="AN45" s="89"/>
      <c r="AO45" s="89">
        <v>0</v>
      </c>
      <c r="AP45" s="89">
        <v>15</v>
      </c>
      <c r="AQ45" s="89">
        <v>12</v>
      </c>
      <c r="AR45" s="89"/>
      <c r="AS45" s="89">
        <v>0</v>
      </c>
      <c r="AT45" s="89">
        <v>0</v>
      </c>
      <c r="AU45" s="89"/>
      <c r="AV45" s="89" t="s">
        <v>631</v>
      </c>
      <c r="AW45" s="89" t="s">
        <v>372</v>
      </c>
      <c r="AX45" s="89" t="s">
        <v>373</v>
      </c>
      <c r="AY45" s="89" t="s">
        <v>359</v>
      </c>
      <c r="AZ45" s="89" t="s">
        <v>359</v>
      </c>
      <c r="BA45" s="89" t="s">
        <v>359</v>
      </c>
      <c r="BB45" s="89" t="s">
        <v>359</v>
      </c>
      <c r="BC45" s="89"/>
      <c r="BD45" s="89" t="s">
        <v>359</v>
      </c>
      <c r="BE45" s="89" t="s">
        <v>359</v>
      </c>
      <c r="BF45" s="89" t="s">
        <v>359</v>
      </c>
      <c r="BG45" s="89" t="s">
        <v>359</v>
      </c>
      <c r="BH45" s="89" t="s">
        <v>632</v>
      </c>
      <c r="BI45" s="89"/>
      <c r="BJ45" s="89"/>
      <c r="BK45" s="74">
        <v>45048.456412037027</v>
      </c>
      <c r="BL45" s="74">
        <v>45022.565671296303</v>
      </c>
      <c r="BM45" s="89" t="s">
        <v>633</v>
      </c>
      <c r="BN45" s="89" t="b">
        <v>0</v>
      </c>
      <c r="BO45" s="89"/>
    </row>
    <row r="46" spans="1:67">
      <c r="A46" s="100">
        <v>100206</v>
      </c>
      <c r="B46" s="89" t="s">
        <v>96</v>
      </c>
      <c r="C46" s="89" t="s">
        <v>95</v>
      </c>
      <c r="D46" s="89" t="s">
        <v>634</v>
      </c>
      <c r="E46" t="s">
        <v>2041</v>
      </c>
      <c r="F46" s="89" t="s">
        <v>635</v>
      </c>
      <c r="G46" s="89" t="s">
        <v>636</v>
      </c>
      <c r="H46" s="89" t="s">
        <v>637</v>
      </c>
      <c r="I46" s="89" t="s">
        <v>637</v>
      </c>
      <c r="J46" s="89" t="s">
        <v>637</v>
      </c>
      <c r="K46" s="89" t="s">
        <v>370</v>
      </c>
      <c r="L46" s="89">
        <v>135</v>
      </c>
      <c r="M46" s="89" t="s">
        <v>353</v>
      </c>
      <c r="N46" s="82" t="s">
        <v>419</v>
      </c>
      <c r="O46" s="89">
        <v>100</v>
      </c>
      <c r="P46" s="89" t="s">
        <v>353</v>
      </c>
      <c r="Q46" s="89" t="s">
        <v>638</v>
      </c>
      <c r="R46" s="89" t="s">
        <v>371</v>
      </c>
      <c r="S46" s="89"/>
      <c r="T46" s="89"/>
      <c r="U46" s="93"/>
      <c r="V46" s="93"/>
      <c r="W46" s="93"/>
      <c r="X46" s="89"/>
      <c r="Y46" s="89"/>
      <c r="Z46" s="89"/>
      <c r="AA46" s="89"/>
      <c r="AB46" s="93"/>
      <c r="AC46" s="93"/>
      <c r="AD46" s="89"/>
      <c r="AE46" s="89"/>
      <c r="AF46" s="82">
        <v>9.4499999999999993</v>
      </c>
      <c r="AG46" s="82">
        <v>22.95</v>
      </c>
      <c r="AH46" s="82">
        <v>0</v>
      </c>
      <c r="AI46" s="82">
        <v>81</v>
      </c>
      <c r="AJ46" s="82">
        <v>0</v>
      </c>
      <c r="AK46" s="82">
        <v>0</v>
      </c>
      <c r="AL46" s="82">
        <v>2.7</v>
      </c>
      <c r="AM46" s="82">
        <v>0</v>
      </c>
      <c r="AN46" s="82">
        <v>162</v>
      </c>
      <c r="AO46" s="82">
        <v>0</v>
      </c>
      <c r="AP46" s="82">
        <v>0</v>
      </c>
      <c r="AQ46" s="82">
        <v>17.55</v>
      </c>
      <c r="AR46" s="89">
        <v>0</v>
      </c>
      <c r="AS46" s="89">
        <v>0</v>
      </c>
      <c r="AT46" s="89">
        <v>0</v>
      </c>
      <c r="AU46" s="89"/>
      <c r="AV46" s="89">
        <f>22*6</f>
        <v>132</v>
      </c>
      <c r="AW46" s="89" t="s">
        <v>372</v>
      </c>
      <c r="AX46" s="89" t="s">
        <v>373</v>
      </c>
      <c r="AY46" s="89" t="s">
        <v>359</v>
      </c>
      <c r="AZ46" s="89" t="s">
        <v>359</v>
      </c>
      <c r="BA46" s="89" t="s">
        <v>359</v>
      </c>
      <c r="BB46" s="89" t="s">
        <v>359</v>
      </c>
      <c r="BC46" s="89"/>
      <c r="BD46" s="89" t="s">
        <v>359</v>
      </c>
      <c r="BE46" s="89" t="s">
        <v>359</v>
      </c>
      <c r="BF46" s="89" t="s">
        <v>359</v>
      </c>
      <c r="BG46" s="89" t="s">
        <v>359</v>
      </c>
      <c r="BH46" s="89" t="s">
        <v>639</v>
      </c>
      <c r="BI46" s="89"/>
      <c r="BJ46" s="89"/>
      <c r="BK46" t="s">
        <v>2042</v>
      </c>
      <c r="BL46" t="s">
        <v>2043</v>
      </c>
      <c r="BM46" s="82" t="s">
        <v>640</v>
      </c>
      <c r="BN46" s="82" t="b">
        <v>1</v>
      </c>
      <c r="BO46" s="83"/>
    </row>
    <row r="47" spans="1:67">
      <c r="A47" s="100">
        <v>100206</v>
      </c>
      <c r="B47" s="89" t="s">
        <v>96</v>
      </c>
      <c r="C47" s="89" t="s">
        <v>95</v>
      </c>
      <c r="D47" s="89" t="s">
        <v>641</v>
      </c>
      <c r="E47" t="s">
        <v>2041</v>
      </c>
      <c r="F47" s="89" t="s">
        <v>635</v>
      </c>
      <c r="G47" s="89" t="s">
        <v>636</v>
      </c>
      <c r="H47" s="89" t="s">
        <v>642</v>
      </c>
      <c r="I47" s="89" t="s">
        <v>642</v>
      </c>
      <c r="J47" s="89" t="s">
        <v>642</v>
      </c>
      <c r="K47" s="89" t="s">
        <v>370</v>
      </c>
      <c r="L47" s="89">
        <v>135</v>
      </c>
      <c r="M47" s="89" t="s">
        <v>353</v>
      </c>
      <c r="N47" s="82" t="s">
        <v>419</v>
      </c>
      <c r="O47" s="89">
        <v>135</v>
      </c>
      <c r="P47" s="89" t="s">
        <v>353</v>
      </c>
      <c r="Q47" s="89" t="s">
        <v>638</v>
      </c>
      <c r="R47" s="89" t="s">
        <v>643</v>
      </c>
      <c r="S47" s="89"/>
      <c r="T47" s="89"/>
      <c r="U47" s="93"/>
      <c r="V47" s="93"/>
      <c r="W47" s="93"/>
      <c r="X47" s="89"/>
      <c r="Y47" s="89"/>
      <c r="Z47" s="89"/>
      <c r="AA47" s="89"/>
      <c r="AB47" s="93"/>
      <c r="AC47" s="93"/>
      <c r="AD47" s="89"/>
      <c r="AE47" s="89"/>
      <c r="AF47" s="82">
        <v>7</v>
      </c>
      <c r="AG47" s="82">
        <v>13</v>
      </c>
      <c r="AH47" s="82">
        <v>0</v>
      </c>
      <c r="AI47" s="82">
        <v>60</v>
      </c>
      <c r="AJ47" s="82">
        <v>0</v>
      </c>
      <c r="AK47" s="82">
        <v>0</v>
      </c>
      <c r="AL47" s="82">
        <v>2</v>
      </c>
      <c r="AM47" s="82">
        <v>0</v>
      </c>
      <c r="AN47" s="82">
        <v>120</v>
      </c>
      <c r="AO47" s="82">
        <v>0</v>
      </c>
      <c r="AP47" s="82">
        <v>0</v>
      </c>
      <c r="AQ47" s="82">
        <v>13</v>
      </c>
      <c r="AR47" s="89">
        <v>0</v>
      </c>
      <c r="AS47" s="89">
        <v>0</v>
      </c>
      <c r="AT47" s="89">
        <v>0</v>
      </c>
      <c r="AU47" s="89"/>
      <c r="AV47" s="89">
        <f>22*6</f>
        <v>132</v>
      </c>
      <c r="AW47" s="89" t="s">
        <v>372</v>
      </c>
      <c r="AX47" s="89"/>
      <c r="AY47" s="89" t="s">
        <v>476</v>
      </c>
      <c r="AZ47" s="89" t="s">
        <v>476</v>
      </c>
      <c r="BA47" s="89" t="s">
        <v>476</v>
      </c>
      <c r="BB47" s="89" t="s">
        <v>476</v>
      </c>
      <c r="BC47" s="89" t="s">
        <v>476</v>
      </c>
      <c r="BD47" s="89" t="s">
        <v>476</v>
      </c>
      <c r="BE47" s="89" t="s">
        <v>476</v>
      </c>
      <c r="BF47" s="89" t="s">
        <v>476</v>
      </c>
      <c r="BG47" s="89" t="s">
        <v>476</v>
      </c>
      <c r="BH47" s="89" t="s">
        <v>644</v>
      </c>
      <c r="BI47" s="89"/>
      <c r="BJ47" s="89"/>
      <c r="BK47" t="s">
        <v>2042</v>
      </c>
      <c r="BL47" t="s">
        <v>2044</v>
      </c>
      <c r="BM47" s="82" t="s">
        <v>645</v>
      </c>
      <c r="BN47" s="82" t="b">
        <v>1</v>
      </c>
      <c r="BO47" s="82"/>
    </row>
    <row r="48" spans="1:67">
      <c r="A48" s="100">
        <v>100206</v>
      </c>
      <c r="B48" s="89" t="s">
        <v>96</v>
      </c>
      <c r="C48" s="89" t="s">
        <v>95</v>
      </c>
      <c r="D48" s="89" t="s">
        <v>646</v>
      </c>
      <c r="E48" s="89" t="s">
        <v>647</v>
      </c>
      <c r="F48" s="89" t="s">
        <v>647</v>
      </c>
      <c r="G48" s="89" t="s">
        <v>648</v>
      </c>
      <c r="H48" s="82" t="s">
        <v>2025</v>
      </c>
      <c r="I48" s="89" t="s">
        <v>649</v>
      </c>
      <c r="J48" s="89" t="s">
        <v>650</v>
      </c>
      <c r="K48" s="89"/>
      <c r="L48" s="89">
        <v>123</v>
      </c>
      <c r="M48" s="89" t="s">
        <v>353</v>
      </c>
      <c r="N48" s="89" t="s">
        <v>354</v>
      </c>
      <c r="O48" s="89">
        <v>123</v>
      </c>
      <c r="P48" s="89" t="s">
        <v>353</v>
      </c>
      <c r="Q48" s="89" t="s">
        <v>630</v>
      </c>
      <c r="R48" s="89" t="s">
        <v>371</v>
      </c>
      <c r="S48" s="89"/>
      <c r="T48" s="89"/>
      <c r="U48" s="93"/>
      <c r="V48" s="93"/>
      <c r="W48" s="93"/>
      <c r="X48" s="89"/>
      <c r="Y48" s="89"/>
      <c r="Z48" s="89"/>
      <c r="AA48" s="89"/>
      <c r="AB48" s="93"/>
      <c r="AC48" s="93"/>
      <c r="AD48" s="89"/>
      <c r="AE48" s="89"/>
      <c r="AF48" s="89">
        <v>3</v>
      </c>
      <c r="AG48" s="89">
        <v>13</v>
      </c>
      <c r="AH48" s="89">
        <v>0</v>
      </c>
      <c r="AI48" s="89">
        <v>50</v>
      </c>
      <c r="AJ48" s="89">
        <v>0</v>
      </c>
      <c r="AK48" s="89">
        <v>0</v>
      </c>
      <c r="AL48" s="89">
        <v>1</v>
      </c>
      <c r="AM48" s="89">
        <v>0</v>
      </c>
      <c r="AN48" s="89">
        <v>87</v>
      </c>
      <c r="AO48" s="89">
        <v>0</v>
      </c>
      <c r="AP48" s="89">
        <v>5</v>
      </c>
      <c r="AQ48" s="89">
        <v>11</v>
      </c>
      <c r="AR48" s="89">
        <v>0</v>
      </c>
      <c r="AS48" s="89">
        <v>0</v>
      </c>
      <c r="AT48" s="89">
        <v>0</v>
      </c>
      <c r="AU48" s="89" t="s">
        <v>357</v>
      </c>
      <c r="AV48" s="100">
        <v>144</v>
      </c>
      <c r="AW48" s="89" t="s">
        <v>372</v>
      </c>
      <c r="AX48" s="89"/>
      <c r="AY48" s="89" t="s">
        <v>359</v>
      </c>
      <c r="AZ48" s="89" t="s">
        <v>359</v>
      </c>
      <c r="BA48" s="89" t="s">
        <v>359</v>
      </c>
      <c r="BB48" s="89" t="s">
        <v>359</v>
      </c>
      <c r="BC48" s="89" t="s">
        <v>476</v>
      </c>
      <c r="BD48" s="89" t="s">
        <v>476</v>
      </c>
      <c r="BE48" s="89" t="s">
        <v>359</v>
      </c>
      <c r="BF48" s="89" t="s">
        <v>359</v>
      </c>
      <c r="BG48" s="89" t="s">
        <v>359</v>
      </c>
      <c r="BH48" s="89" t="s">
        <v>651</v>
      </c>
      <c r="BI48" s="89" t="s">
        <v>652</v>
      </c>
      <c r="BJ48" s="89"/>
      <c r="BK48" s="82" t="s">
        <v>2018</v>
      </c>
      <c r="BL48" s="82" t="s">
        <v>2026</v>
      </c>
      <c r="BM48" s="89" t="s">
        <v>653</v>
      </c>
      <c r="BN48" s="89" t="b">
        <v>0</v>
      </c>
      <c r="BO48" s="83"/>
    </row>
    <row r="49" spans="1:67">
      <c r="A49" s="100">
        <v>100212</v>
      </c>
      <c r="B49" s="89" t="s">
        <v>98</v>
      </c>
      <c r="C49" s="89" t="s">
        <v>95</v>
      </c>
      <c r="D49" s="89" t="s">
        <v>657</v>
      </c>
      <c r="E49" s="89" t="s">
        <v>647</v>
      </c>
      <c r="F49" s="89" t="s">
        <v>647</v>
      </c>
      <c r="G49" s="89" t="s">
        <v>648</v>
      </c>
      <c r="H49" s="82" t="s">
        <v>2027</v>
      </c>
      <c r="I49" s="89" t="s">
        <v>658</v>
      </c>
      <c r="J49" s="89" t="s">
        <v>659</v>
      </c>
      <c r="K49" s="89"/>
      <c r="L49" s="89">
        <v>126</v>
      </c>
      <c r="M49" s="89" t="s">
        <v>353</v>
      </c>
      <c r="N49" s="89" t="s">
        <v>354</v>
      </c>
      <c r="O49" s="89">
        <v>126</v>
      </c>
      <c r="P49" s="89" t="s">
        <v>353</v>
      </c>
      <c r="Q49" s="89" t="s">
        <v>630</v>
      </c>
      <c r="R49" s="89" t="s">
        <v>371</v>
      </c>
      <c r="S49" s="89"/>
      <c r="T49" s="89"/>
      <c r="U49" s="93"/>
      <c r="V49" s="93"/>
      <c r="W49" s="93"/>
      <c r="X49" s="89"/>
      <c r="Y49" s="89"/>
      <c r="Z49" s="89"/>
      <c r="AA49" s="89"/>
      <c r="AB49" s="93"/>
      <c r="AC49" s="93"/>
      <c r="AD49" s="89"/>
      <c r="AE49" s="89"/>
      <c r="AF49" s="89">
        <v>7</v>
      </c>
      <c r="AG49" s="89">
        <v>15</v>
      </c>
      <c r="AH49" s="89">
        <v>0</v>
      </c>
      <c r="AI49" s="89">
        <v>60</v>
      </c>
      <c r="AJ49" s="89">
        <v>0</v>
      </c>
      <c r="AK49" s="89">
        <v>0</v>
      </c>
      <c r="AL49" s="89">
        <v>1</v>
      </c>
      <c r="AM49" s="89">
        <v>0</v>
      </c>
      <c r="AN49" s="89">
        <v>113</v>
      </c>
      <c r="AO49" s="89">
        <v>0</v>
      </c>
      <c r="AP49" s="89">
        <v>5</v>
      </c>
      <c r="AQ49" s="89">
        <v>13</v>
      </c>
      <c r="AR49" s="89">
        <v>4</v>
      </c>
      <c r="AS49" s="89">
        <v>0</v>
      </c>
      <c r="AT49" s="89">
        <v>0</v>
      </c>
      <c r="AU49" s="89" t="s">
        <v>357</v>
      </c>
      <c r="AV49" s="100">
        <v>144</v>
      </c>
      <c r="AW49" s="89" t="s">
        <v>372</v>
      </c>
      <c r="AX49" s="89"/>
      <c r="AY49" s="89" t="s">
        <v>359</v>
      </c>
      <c r="AZ49" s="89" t="s">
        <v>359</v>
      </c>
      <c r="BA49" s="89" t="s">
        <v>359</v>
      </c>
      <c r="BB49" s="89" t="s">
        <v>359</v>
      </c>
      <c r="BC49" s="89" t="s">
        <v>359</v>
      </c>
      <c r="BD49" s="89" t="s">
        <v>476</v>
      </c>
      <c r="BE49" s="89" t="s">
        <v>359</v>
      </c>
      <c r="BF49" s="89" t="s">
        <v>359</v>
      </c>
      <c r="BG49" s="89" t="s">
        <v>359</v>
      </c>
      <c r="BH49" s="89" t="s">
        <v>651</v>
      </c>
      <c r="BI49" s="89" t="s">
        <v>652</v>
      </c>
      <c r="BJ49" s="89"/>
      <c r="BK49" s="82" t="s">
        <v>2018</v>
      </c>
      <c r="BL49" s="82" t="s">
        <v>2026</v>
      </c>
      <c r="BM49" s="89" t="s">
        <v>660</v>
      </c>
      <c r="BN49" s="89" t="b">
        <v>0</v>
      </c>
      <c r="BO49" s="89"/>
    </row>
    <row r="50" spans="1:67">
      <c r="A50" s="85">
        <v>100212</v>
      </c>
      <c r="B50" s="83" t="s">
        <v>98</v>
      </c>
      <c r="C50" s="83" t="s">
        <v>95</v>
      </c>
      <c r="D50" s="83" t="s">
        <v>661</v>
      </c>
      <c r="E50" s="83" t="s">
        <v>662</v>
      </c>
      <c r="F50" s="86" t="s">
        <v>663</v>
      </c>
      <c r="G50" s="86" t="s">
        <v>663</v>
      </c>
      <c r="H50" s="83"/>
      <c r="I50" s="83" t="s">
        <v>664</v>
      </c>
      <c r="J50" s="83" t="s">
        <v>665</v>
      </c>
      <c r="K50" s="83" t="s">
        <v>370</v>
      </c>
      <c r="L50" s="82">
        <v>124</v>
      </c>
      <c r="M50" s="82" t="s">
        <v>353</v>
      </c>
      <c r="N50" s="82" t="s">
        <v>419</v>
      </c>
      <c r="O50" s="82">
        <v>100</v>
      </c>
      <c r="P50" s="82" t="s">
        <v>353</v>
      </c>
      <c r="Q50" s="82" t="s">
        <v>630</v>
      </c>
      <c r="R50" s="83" t="s">
        <v>371</v>
      </c>
      <c r="S50" s="83"/>
      <c r="T50" s="83"/>
      <c r="U50" s="84"/>
      <c r="V50" s="84"/>
      <c r="W50" s="84"/>
      <c r="X50" s="83"/>
      <c r="Y50" s="83"/>
      <c r="Z50" s="83"/>
      <c r="AA50" s="83"/>
      <c r="AB50" s="84"/>
      <c r="AC50" s="84"/>
      <c r="AD50" s="83"/>
      <c r="AE50" s="83"/>
      <c r="AF50" s="82">
        <v>5.3818479999999997</v>
      </c>
      <c r="AG50" s="82">
        <v>16.329312000000002</v>
      </c>
      <c r="AH50" s="82">
        <v>0</v>
      </c>
      <c r="AI50" s="82">
        <v>65.968868000000001</v>
      </c>
      <c r="AJ50" s="82">
        <v>8.5559999999999994E-3</v>
      </c>
      <c r="AK50" s="82">
        <v>0</v>
      </c>
      <c r="AL50" s="82">
        <v>1.683548</v>
      </c>
      <c r="AM50" s="82">
        <v>0.21501600000000001</v>
      </c>
      <c r="AN50" s="82">
        <v>124.903464</v>
      </c>
      <c r="AO50" s="82">
        <v>0.50839999999999996</v>
      </c>
      <c r="AP50" s="82">
        <v>1.5254479999999999</v>
      </c>
      <c r="AQ50" s="82">
        <v>13.654631999999999</v>
      </c>
      <c r="AR50" s="82">
        <v>4.5814279999999998</v>
      </c>
      <c r="AS50" s="82">
        <v>0.21129600000000001</v>
      </c>
      <c r="AT50" s="82">
        <v>0</v>
      </c>
      <c r="AU50" s="83"/>
      <c r="AV50" s="83">
        <f>24*6</f>
        <v>144</v>
      </c>
      <c r="AW50" s="83" t="s">
        <v>372</v>
      </c>
      <c r="AX50" s="83" t="s">
        <v>373</v>
      </c>
      <c r="AY50" s="83" t="s">
        <v>359</v>
      </c>
      <c r="AZ50" s="83" t="s">
        <v>359</v>
      </c>
      <c r="BA50" s="83" t="s">
        <v>359</v>
      </c>
      <c r="BB50" s="83" t="s">
        <v>359</v>
      </c>
      <c r="BC50" s="83" t="s">
        <v>359</v>
      </c>
      <c r="BD50" s="83" t="s">
        <v>359</v>
      </c>
      <c r="BE50" s="83" t="s">
        <v>359</v>
      </c>
      <c r="BF50" s="83" t="s">
        <v>359</v>
      </c>
      <c r="BG50" s="83" t="s">
        <v>359</v>
      </c>
      <c r="BH50" s="83" t="s">
        <v>666</v>
      </c>
      <c r="BI50" s="83"/>
      <c r="BJ50" s="83"/>
      <c r="BK50" s="88">
        <v>44823.225601851853</v>
      </c>
      <c r="BL50" s="74">
        <v>45156.770277777781</v>
      </c>
      <c r="BM50" s="82" t="s">
        <v>667</v>
      </c>
      <c r="BN50" s="82" t="b">
        <v>1</v>
      </c>
      <c r="BO50" s="89"/>
    </row>
    <row r="51" spans="1:67">
      <c r="A51" s="100">
        <v>100216</v>
      </c>
      <c r="B51" s="89" t="s">
        <v>99</v>
      </c>
      <c r="C51" s="89" t="s">
        <v>95</v>
      </c>
      <c r="D51" s="89" t="s">
        <v>668</v>
      </c>
      <c r="E51" s="89" t="s">
        <v>647</v>
      </c>
      <c r="F51" s="89" t="s">
        <v>647</v>
      </c>
      <c r="G51" s="89" t="s">
        <v>648</v>
      </c>
      <c r="H51" s="89" t="s">
        <v>669</v>
      </c>
      <c r="I51" s="89" t="s">
        <v>670</v>
      </c>
      <c r="J51" s="89" t="s">
        <v>671</v>
      </c>
      <c r="K51" s="89"/>
      <c r="L51" s="89">
        <v>124</v>
      </c>
      <c r="M51" s="89" t="s">
        <v>353</v>
      </c>
      <c r="N51" s="89" t="s">
        <v>354</v>
      </c>
      <c r="O51" s="89">
        <v>124</v>
      </c>
      <c r="P51" s="89" t="s">
        <v>353</v>
      </c>
      <c r="Q51" s="89" t="s">
        <v>630</v>
      </c>
      <c r="R51" s="89" t="s">
        <v>371</v>
      </c>
      <c r="S51" s="89"/>
      <c r="T51" s="89"/>
      <c r="U51" s="93"/>
      <c r="V51" s="93"/>
      <c r="W51" s="93"/>
      <c r="X51" s="89"/>
      <c r="Y51" s="89"/>
      <c r="Z51" s="89"/>
      <c r="AA51" s="89"/>
      <c r="AB51" s="93"/>
      <c r="AC51" s="93"/>
      <c r="AD51" s="89"/>
      <c r="AE51" s="89"/>
      <c r="AF51" s="89">
        <v>10</v>
      </c>
      <c r="AG51" s="89">
        <v>14</v>
      </c>
      <c r="AH51" s="89">
        <v>0</v>
      </c>
      <c r="AI51" s="89">
        <v>60</v>
      </c>
      <c r="AJ51" s="89">
        <v>0</v>
      </c>
      <c r="AK51" s="89">
        <v>0</v>
      </c>
      <c r="AL51" s="89">
        <v>1</v>
      </c>
      <c r="AM51" s="89">
        <v>0.3</v>
      </c>
      <c r="AN51" s="89">
        <v>119</v>
      </c>
      <c r="AO51" s="89">
        <v>1</v>
      </c>
      <c r="AP51" s="89">
        <v>10</v>
      </c>
      <c r="AQ51" s="89">
        <v>12</v>
      </c>
      <c r="AR51" s="89">
        <v>4</v>
      </c>
      <c r="AS51" s="89">
        <v>0</v>
      </c>
      <c r="AT51" s="89">
        <v>0</v>
      </c>
      <c r="AU51" s="89" t="s">
        <v>357</v>
      </c>
      <c r="AV51" s="100">
        <v>144</v>
      </c>
      <c r="AW51" s="89" t="s">
        <v>372</v>
      </c>
      <c r="AX51" s="89"/>
      <c r="AY51" s="89" t="s">
        <v>359</v>
      </c>
      <c r="AZ51" s="89" t="s">
        <v>359</v>
      </c>
      <c r="BA51" s="89" t="s">
        <v>359</v>
      </c>
      <c r="BB51" s="89" t="s">
        <v>359</v>
      </c>
      <c r="BC51" s="89" t="s">
        <v>359</v>
      </c>
      <c r="BD51" s="82" t="s">
        <v>476</v>
      </c>
      <c r="BE51" s="82" t="s">
        <v>359</v>
      </c>
      <c r="BF51" s="82" t="s">
        <v>359</v>
      </c>
      <c r="BG51" s="82" t="s">
        <v>359</v>
      </c>
      <c r="BH51" s="82" t="s">
        <v>651</v>
      </c>
      <c r="BI51" s="89" t="s">
        <v>652</v>
      </c>
      <c r="BJ51" s="82"/>
      <c r="BK51" s="74">
        <v>45170.372083333343</v>
      </c>
      <c r="BL51" s="74">
        <v>45153.707187499997</v>
      </c>
      <c r="BM51" s="83" t="s">
        <v>672</v>
      </c>
      <c r="BN51" s="83" t="b">
        <v>0</v>
      </c>
      <c r="BO51" s="89"/>
    </row>
    <row r="52" spans="1:67">
      <c r="A52" s="85">
        <v>100216</v>
      </c>
      <c r="B52" s="83" t="s">
        <v>99</v>
      </c>
      <c r="C52" s="83" t="s">
        <v>95</v>
      </c>
      <c r="D52" s="83" t="s">
        <v>673</v>
      </c>
      <c r="E52" s="83" t="s">
        <v>662</v>
      </c>
      <c r="F52" s="86" t="s">
        <v>663</v>
      </c>
      <c r="G52" s="86" t="s">
        <v>663</v>
      </c>
      <c r="H52" s="83"/>
      <c r="I52" s="83" t="s">
        <v>674</v>
      </c>
      <c r="J52" s="83" t="s">
        <v>675</v>
      </c>
      <c r="K52" s="83" t="s">
        <v>370</v>
      </c>
      <c r="L52" s="82">
        <v>124</v>
      </c>
      <c r="M52" s="82" t="s">
        <v>353</v>
      </c>
      <c r="N52" s="82" t="s">
        <v>354</v>
      </c>
      <c r="O52" s="82">
        <v>124</v>
      </c>
      <c r="P52" s="82" t="s">
        <v>353</v>
      </c>
      <c r="Q52" s="82" t="s">
        <v>630</v>
      </c>
      <c r="R52" s="83" t="s">
        <v>371</v>
      </c>
      <c r="S52" s="83"/>
      <c r="T52" s="83"/>
      <c r="U52" s="84"/>
      <c r="V52" s="84"/>
      <c r="W52" s="84"/>
      <c r="X52" s="83"/>
      <c r="Y52" s="83"/>
      <c r="Z52" s="83"/>
      <c r="AA52" s="83"/>
      <c r="AB52" s="84"/>
      <c r="AC52" s="84"/>
      <c r="AD52" s="83"/>
      <c r="AE52" s="83"/>
      <c r="AF52" s="82">
        <v>7</v>
      </c>
      <c r="AG52" s="82">
        <v>15</v>
      </c>
      <c r="AH52" s="82">
        <v>0</v>
      </c>
      <c r="AI52" s="82">
        <v>60</v>
      </c>
      <c r="AJ52" s="82">
        <v>0</v>
      </c>
      <c r="AK52" s="82">
        <v>0</v>
      </c>
      <c r="AL52" s="82">
        <v>1</v>
      </c>
      <c r="AM52" s="82">
        <v>0</v>
      </c>
      <c r="AN52" s="82">
        <v>152</v>
      </c>
      <c r="AO52" s="82">
        <v>1</v>
      </c>
      <c r="AP52" s="82">
        <v>0</v>
      </c>
      <c r="AQ52" s="82">
        <v>13</v>
      </c>
      <c r="AR52" s="82">
        <v>6</v>
      </c>
      <c r="AS52" s="82">
        <v>0</v>
      </c>
      <c r="AT52" s="82">
        <v>0</v>
      </c>
      <c r="AU52" s="83"/>
      <c r="AV52" s="83">
        <f>24*6</f>
        <v>144</v>
      </c>
      <c r="AW52" s="83" t="s">
        <v>372</v>
      </c>
      <c r="AX52" s="83" t="s">
        <v>373</v>
      </c>
      <c r="AY52" s="83" t="s">
        <v>359</v>
      </c>
      <c r="AZ52" s="83" t="s">
        <v>359</v>
      </c>
      <c r="BA52" s="83" t="s">
        <v>359</v>
      </c>
      <c r="BB52" s="83" t="s">
        <v>359</v>
      </c>
      <c r="BC52" s="83" t="s">
        <v>359</v>
      </c>
      <c r="BD52" s="83" t="s">
        <v>359</v>
      </c>
      <c r="BE52" s="83" t="s">
        <v>359</v>
      </c>
      <c r="BF52" s="83" t="s">
        <v>359</v>
      </c>
      <c r="BG52" s="83" t="s">
        <v>359</v>
      </c>
      <c r="BH52" s="83" t="s">
        <v>666</v>
      </c>
      <c r="BI52" s="83"/>
      <c r="BJ52" s="83"/>
      <c r="BK52" s="88">
        <v>44823.223333333342</v>
      </c>
      <c r="BL52" s="74">
        <v>45156.771041666667</v>
      </c>
      <c r="BM52" s="82" t="s">
        <v>672</v>
      </c>
      <c r="BN52" s="82" t="b">
        <v>0</v>
      </c>
      <c r="BO52" s="93"/>
    </row>
    <row r="53" spans="1:67" ht="28.8">
      <c r="A53" s="100">
        <v>100219</v>
      </c>
      <c r="B53" s="93" t="s">
        <v>676</v>
      </c>
      <c r="C53" s="89" t="s">
        <v>95</v>
      </c>
      <c r="D53" s="89" t="s">
        <v>677</v>
      </c>
      <c r="E53" s="89" t="s">
        <v>647</v>
      </c>
      <c r="F53" s="89" t="s">
        <v>647</v>
      </c>
      <c r="G53" s="89" t="s">
        <v>648</v>
      </c>
      <c r="H53" s="82" t="s">
        <v>2028</v>
      </c>
      <c r="I53" s="89" t="s">
        <v>678</v>
      </c>
      <c r="J53" s="89" t="s">
        <v>679</v>
      </c>
      <c r="K53" s="89"/>
      <c r="L53" s="89">
        <v>124</v>
      </c>
      <c r="M53" s="89" t="s">
        <v>353</v>
      </c>
      <c r="N53" s="89" t="s">
        <v>354</v>
      </c>
      <c r="O53" s="89">
        <v>124</v>
      </c>
      <c r="P53" s="89" t="s">
        <v>353</v>
      </c>
      <c r="Q53" s="89" t="s">
        <v>630</v>
      </c>
      <c r="R53" s="89" t="s">
        <v>371</v>
      </c>
      <c r="S53" s="89"/>
      <c r="T53" s="89"/>
      <c r="U53" s="93"/>
      <c r="V53" s="93"/>
      <c r="W53" s="93"/>
      <c r="X53" s="89"/>
      <c r="Y53" s="89"/>
      <c r="Z53" s="89"/>
      <c r="AA53" s="89"/>
      <c r="AB53" s="93"/>
      <c r="AC53" s="93"/>
      <c r="AD53" s="89"/>
      <c r="AE53" s="89"/>
      <c r="AF53" s="89">
        <v>6</v>
      </c>
      <c r="AG53" s="89">
        <v>15</v>
      </c>
      <c r="AH53" s="89">
        <v>0</v>
      </c>
      <c r="AI53" s="89">
        <v>60</v>
      </c>
      <c r="AJ53" s="89">
        <v>0</v>
      </c>
      <c r="AK53" s="89">
        <v>0</v>
      </c>
      <c r="AL53" s="89">
        <v>1</v>
      </c>
      <c r="AM53" s="89">
        <v>0.2</v>
      </c>
      <c r="AN53" s="89">
        <v>105</v>
      </c>
      <c r="AO53" s="89">
        <v>0</v>
      </c>
      <c r="AP53" s="89">
        <v>5</v>
      </c>
      <c r="AQ53" s="89">
        <v>12</v>
      </c>
      <c r="AR53" s="89">
        <v>5</v>
      </c>
      <c r="AS53" s="89">
        <v>0</v>
      </c>
      <c r="AT53" s="89">
        <v>0</v>
      </c>
      <c r="AU53" s="89" t="s">
        <v>357</v>
      </c>
      <c r="AV53" s="100">
        <v>144</v>
      </c>
      <c r="AW53" s="89" t="s">
        <v>372</v>
      </c>
      <c r="AX53" s="89"/>
      <c r="AY53" s="89" t="s">
        <v>359</v>
      </c>
      <c r="AZ53" s="89" t="s">
        <v>359</v>
      </c>
      <c r="BA53" s="89" t="s">
        <v>359</v>
      </c>
      <c r="BB53" s="89" t="s">
        <v>359</v>
      </c>
      <c r="BC53" s="89" t="s">
        <v>359</v>
      </c>
      <c r="BD53" s="89" t="s">
        <v>476</v>
      </c>
      <c r="BE53" s="89" t="s">
        <v>359</v>
      </c>
      <c r="BF53" s="89" t="s">
        <v>359</v>
      </c>
      <c r="BG53" s="89" t="s">
        <v>359</v>
      </c>
      <c r="BH53" s="89" t="s">
        <v>651</v>
      </c>
      <c r="BI53" s="89" t="s">
        <v>652</v>
      </c>
      <c r="BJ53" s="89"/>
      <c r="BK53" s="82" t="s">
        <v>2018</v>
      </c>
      <c r="BL53" s="82" t="s">
        <v>2026</v>
      </c>
      <c r="BM53" s="89" t="s">
        <v>680</v>
      </c>
      <c r="BN53" s="89" t="b">
        <v>0</v>
      </c>
      <c r="BO53" s="83"/>
    </row>
    <row r="54" spans="1:67">
      <c r="A54" s="96">
        <v>100219</v>
      </c>
      <c r="B54" s="86" t="s">
        <v>100</v>
      </c>
      <c r="C54" s="86" t="s">
        <v>95</v>
      </c>
      <c r="D54" s="86" t="s">
        <v>681</v>
      </c>
      <c r="E54" s="86" t="s">
        <v>662</v>
      </c>
      <c r="F54" s="86" t="s">
        <v>663</v>
      </c>
      <c r="G54" s="86" t="s">
        <v>663</v>
      </c>
      <c r="H54" s="86" t="s">
        <v>682</v>
      </c>
      <c r="I54" s="86" t="s">
        <v>683</v>
      </c>
      <c r="J54" s="86" t="s">
        <v>684</v>
      </c>
      <c r="K54" s="86" t="s">
        <v>370</v>
      </c>
      <c r="L54" s="89">
        <v>124</v>
      </c>
      <c r="M54" s="89" t="s">
        <v>353</v>
      </c>
      <c r="N54" s="89" t="s">
        <v>354</v>
      </c>
      <c r="O54" s="89">
        <v>124</v>
      </c>
      <c r="P54" s="86" t="s">
        <v>353</v>
      </c>
      <c r="Q54" s="86" t="s">
        <v>630</v>
      </c>
      <c r="R54" s="86" t="s">
        <v>371</v>
      </c>
      <c r="S54" s="86"/>
      <c r="T54" s="86"/>
      <c r="U54" s="87"/>
      <c r="V54" s="87"/>
      <c r="W54" s="87"/>
      <c r="X54" s="86"/>
      <c r="Y54" s="86"/>
      <c r="Z54" s="86"/>
      <c r="AA54" s="86"/>
      <c r="AB54" s="87"/>
      <c r="AC54" s="87"/>
      <c r="AD54" s="86"/>
      <c r="AE54" s="86"/>
      <c r="AF54" s="89">
        <v>1</v>
      </c>
      <c r="AG54" s="89">
        <v>16</v>
      </c>
      <c r="AH54" s="89">
        <v>0</v>
      </c>
      <c r="AI54" s="89">
        <v>60</v>
      </c>
      <c r="AJ54" s="89">
        <v>0</v>
      </c>
      <c r="AK54" s="89">
        <v>0</v>
      </c>
      <c r="AL54" s="89">
        <v>1</v>
      </c>
      <c r="AM54" s="89">
        <v>0</v>
      </c>
      <c r="AN54" s="89">
        <v>81</v>
      </c>
      <c r="AO54" s="89">
        <v>1</v>
      </c>
      <c r="AP54" s="89">
        <v>0</v>
      </c>
      <c r="AQ54" s="89">
        <v>15</v>
      </c>
      <c r="AR54" s="89">
        <v>7</v>
      </c>
      <c r="AS54" s="86">
        <v>0</v>
      </c>
      <c r="AT54" s="86">
        <v>0</v>
      </c>
      <c r="AU54" s="86"/>
      <c r="AV54" s="86">
        <f>24*6</f>
        <v>144</v>
      </c>
      <c r="AW54" s="86" t="s">
        <v>372</v>
      </c>
      <c r="AX54" s="89" t="b">
        <v>1</v>
      </c>
      <c r="AY54" s="89" t="s">
        <v>359</v>
      </c>
      <c r="AZ54" s="89" t="s">
        <v>359</v>
      </c>
      <c r="BA54" s="89" t="s">
        <v>359</v>
      </c>
      <c r="BB54" s="89" t="s">
        <v>359</v>
      </c>
      <c r="BC54" s="89" t="s">
        <v>359</v>
      </c>
      <c r="BD54" s="89" t="s">
        <v>359</v>
      </c>
      <c r="BE54" s="89" t="s">
        <v>359</v>
      </c>
      <c r="BF54" s="89" t="s">
        <v>359</v>
      </c>
      <c r="BG54" s="89" t="s">
        <v>359</v>
      </c>
      <c r="BH54" s="89" t="s">
        <v>685</v>
      </c>
      <c r="BI54" s="89"/>
      <c r="BJ54" s="89"/>
      <c r="BK54" s="74">
        <v>45139.557893518519</v>
      </c>
      <c r="BL54" s="74">
        <v>45156.772187499999</v>
      </c>
      <c r="BM54" s="86" t="s">
        <v>680</v>
      </c>
      <c r="BN54" s="89" t="b">
        <v>0</v>
      </c>
      <c r="BO54" s="83"/>
    </row>
    <row r="55" spans="1:67">
      <c r="A55" s="100">
        <v>100220</v>
      </c>
      <c r="B55" s="89" t="s">
        <v>101</v>
      </c>
      <c r="C55" s="89" t="s">
        <v>95</v>
      </c>
      <c r="D55" s="89" t="s">
        <v>686</v>
      </c>
      <c r="E55" s="89" t="s">
        <v>647</v>
      </c>
      <c r="F55" s="89" t="s">
        <v>647</v>
      </c>
      <c r="G55" s="89" t="s">
        <v>648</v>
      </c>
      <c r="H55" s="82" t="s">
        <v>2029</v>
      </c>
      <c r="I55" s="89" t="s">
        <v>687</v>
      </c>
      <c r="J55" s="89" t="s">
        <v>688</v>
      </c>
      <c r="K55" s="89"/>
      <c r="L55" s="89">
        <v>126</v>
      </c>
      <c r="M55" s="89" t="s">
        <v>353</v>
      </c>
      <c r="N55" s="89" t="s">
        <v>354</v>
      </c>
      <c r="O55" s="89">
        <v>126</v>
      </c>
      <c r="P55" s="89" t="s">
        <v>353</v>
      </c>
      <c r="Q55" s="89" t="s">
        <v>630</v>
      </c>
      <c r="R55" s="89" t="s">
        <v>371</v>
      </c>
      <c r="S55" s="89"/>
      <c r="T55" s="89"/>
      <c r="U55" s="93"/>
      <c r="V55" s="93"/>
      <c r="W55" s="93"/>
      <c r="X55" s="89"/>
      <c r="Y55" s="89"/>
      <c r="Z55" s="89"/>
      <c r="AA55" s="89"/>
      <c r="AB55" s="93"/>
      <c r="AC55" s="93"/>
      <c r="AD55" s="89"/>
      <c r="AE55" s="89"/>
      <c r="AF55" s="89">
        <v>6</v>
      </c>
      <c r="AG55" s="89">
        <v>14</v>
      </c>
      <c r="AH55" s="89">
        <v>0</v>
      </c>
      <c r="AI55" s="89">
        <v>60</v>
      </c>
      <c r="AJ55" s="89">
        <v>0</v>
      </c>
      <c r="AK55" s="89">
        <v>0</v>
      </c>
      <c r="AL55" s="89">
        <v>1</v>
      </c>
      <c r="AM55" s="89">
        <v>0.2</v>
      </c>
      <c r="AN55" s="89">
        <v>113</v>
      </c>
      <c r="AO55" s="89">
        <v>0</v>
      </c>
      <c r="AP55" s="89">
        <v>5</v>
      </c>
      <c r="AQ55" s="89">
        <v>13</v>
      </c>
      <c r="AR55" s="89">
        <v>5</v>
      </c>
      <c r="AS55" s="89">
        <v>0</v>
      </c>
      <c r="AT55" s="89">
        <v>0</v>
      </c>
      <c r="AU55" s="89" t="s">
        <v>357</v>
      </c>
      <c r="AV55" s="100">
        <v>144</v>
      </c>
      <c r="AW55" s="89" t="s">
        <v>372</v>
      </c>
      <c r="AX55" s="89"/>
      <c r="AY55" s="89" t="s">
        <v>359</v>
      </c>
      <c r="AZ55" s="89" t="s">
        <v>359</v>
      </c>
      <c r="BA55" s="89" t="s">
        <v>359</v>
      </c>
      <c r="BB55" s="89" t="s">
        <v>359</v>
      </c>
      <c r="BC55" s="89" t="s">
        <v>359</v>
      </c>
      <c r="BD55" s="89" t="s">
        <v>476</v>
      </c>
      <c r="BE55" s="89" t="s">
        <v>359</v>
      </c>
      <c r="BF55" s="89" t="s">
        <v>359</v>
      </c>
      <c r="BG55" s="89" t="s">
        <v>359</v>
      </c>
      <c r="BH55" s="89" t="s">
        <v>651</v>
      </c>
      <c r="BI55" s="89" t="s">
        <v>652</v>
      </c>
      <c r="BJ55" s="89"/>
      <c r="BK55" s="82" t="s">
        <v>2018</v>
      </c>
      <c r="BL55" s="82" t="s">
        <v>2030</v>
      </c>
      <c r="BM55" s="89" t="s">
        <v>680</v>
      </c>
      <c r="BN55" s="89" t="b">
        <v>0</v>
      </c>
      <c r="BO55" s="93"/>
    </row>
    <row r="56" spans="1:67">
      <c r="A56" s="83">
        <v>100220</v>
      </c>
      <c r="B56" s="83" t="s">
        <v>101</v>
      </c>
      <c r="C56" s="83" t="s">
        <v>95</v>
      </c>
      <c r="D56" s="83" t="s">
        <v>2353</v>
      </c>
      <c r="E56" s="83" t="s">
        <v>662</v>
      </c>
      <c r="F56" s="83" t="s">
        <v>2354</v>
      </c>
      <c r="G56" s="83" t="s">
        <v>2354</v>
      </c>
      <c r="H56" s="83"/>
      <c r="I56" s="83" t="s">
        <v>2355</v>
      </c>
      <c r="J56" s="83" t="s">
        <v>2356</v>
      </c>
      <c r="K56" s="83" t="s">
        <v>370</v>
      </c>
      <c r="L56">
        <v>124</v>
      </c>
      <c r="M56" t="s">
        <v>353</v>
      </c>
      <c r="N56" t="s">
        <v>354</v>
      </c>
      <c r="O56">
        <v>124</v>
      </c>
      <c r="P56" t="s">
        <v>353</v>
      </c>
      <c r="Q56" t="s">
        <v>630</v>
      </c>
      <c r="R56" s="83" t="s">
        <v>371</v>
      </c>
      <c r="S56" s="83"/>
      <c r="T56" s="83"/>
      <c r="U56" s="84"/>
      <c r="V56" s="84"/>
      <c r="W56" s="84"/>
      <c r="X56" s="83"/>
      <c r="Y56" s="83"/>
      <c r="Z56" s="83"/>
      <c r="AA56" s="83"/>
      <c r="AB56" s="84"/>
      <c r="AC56" s="84"/>
      <c r="AD56" s="83"/>
      <c r="AE56" s="83"/>
      <c r="AF56">
        <v>1</v>
      </c>
      <c r="AG56">
        <v>16</v>
      </c>
      <c r="AH56">
        <v>0</v>
      </c>
      <c r="AI56">
        <v>60</v>
      </c>
      <c r="AJ56">
        <v>0</v>
      </c>
      <c r="AK56">
        <v>0</v>
      </c>
      <c r="AL56">
        <v>1</v>
      </c>
      <c r="AM56">
        <v>0</v>
      </c>
      <c r="AN56">
        <v>81</v>
      </c>
      <c r="AO56">
        <v>1</v>
      </c>
      <c r="AP56">
        <v>0</v>
      </c>
      <c r="AQ56">
        <v>15</v>
      </c>
      <c r="AR56">
        <v>7</v>
      </c>
      <c r="AS56">
        <v>0</v>
      </c>
      <c r="AT56">
        <v>0</v>
      </c>
      <c r="AU56" s="83"/>
      <c r="AV56" s="83">
        <f>24*6</f>
        <v>144</v>
      </c>
      <c r="AW56" s="83" t="s">
        <v>372</v>
      </c>
      <c r="AX56" s="83" t="s">
        <v>373</v>
      </c>
      <c r="AY56" s="83" t="s">
        <v>359</v>
      </c>
      <c r="AZ56" s="83" t="s">
        <v>359</v>
      </c>
      <c r="BA56" s="83" t="s">
        <v>359</v>
      </c>
      <c r="BB56" s="83" t="s">
        <v>359</v>
      </c>
      <c r="BC56" s="83" t="s">
        <v>359</v>
      </c>
      <c r="BD56" s="83" t="s">
        <v>359</v>
      </c>
      <c r="BE56" s="83" t="s">
        <v>359</v>
      </c>
      <c r="BF56" s="83" t="s">
        <v>359</v>
      </c>
      <c r="BG56" s="83" t="s">
        <v>359</v>
      </c>
      <c r="BH56" s="83" t="s">
        <v>666</v>
      </c>
      <c r="BI56" s="83"/>
      <c r="BJ56" s="83"/>
      <c r="BK56" s="88">
        <v>44823.242523148147</v>
      </c>
      <c r="BL56" s="123">
        <v>45156.773842592593</v>
      </c>
      <c r="BM56" t="s">
        <v>680</v>
      </c>
      <c r="BN56" t="b">
        <v>0</v>
      </c>
      <c r="BO56" s="94"/>
    </row>
    <row r="57" spans="1:67">
      <c r="A57" s="100">
        <v>100224</v>
      </c>
      <c r="B57" s="89" t="s">
        <v>102</v>
      </c>
      <c r="C57" s="89" t="s">
        <v>95</v>
      </c>
      <c r="D57" s="89" t="s">
        <v>689</v>
      </c>
      <c r="E57" s="89" t="s">
        <v>647</v>
      </c>
      <c r="F57" s="89" t="s">
        <v>647</v>
      </c>
      <c r="G57" s="89" t="s">
        <v>648</v>
      </c>
      <c r="H57" s="82" t="s">
        <v>2031</v>
      </c>
      <c r="I57" s="89" t="s">
        <v>690</v>
      </c>
      <c r="J57" s="89" t="s">
        <v>691</v>
      </c>
      <c r="K57" s="89"/>
      <c r="L57" s="89">
        <v>124</v>
      </c>
      <c r="M57" s="89" t="s">
        <v>353</v>
      </c>
      <c r="N57" s="89" t="s">
        <v>354</v>
      </c>
      <c r="O57" s="89">
        <v>124</v>
      </c>
      <c r="P57" s="89" t="s">
        <v>353</v>
      </c>
      <c r="Q57" s="89" t="s">
        <v>630</v>
      </c>
      <c r="R57" s="89" t="s">
        <v>371</v>
      </c>
      <c r="S57" s="89"/>
      <c r="T57" s="89"/>
      <c r="U57" s="93"/>
      <c r="V57" s="93"/>
      <c r="W57" s="93"/>
      <c r="X57" s="89"/>
      <c r="Y57" s="89"/>
      <c r="Z57" s="89"/>
      <c r="AA57" s="89"/>
      <c r="AB57" s="93"/>
      <c r="AC57" s="93"/>
      <c r="AD57" s="89"/>
      <c r="AE57" s="89"/>
      <c r="AF57" s="89">
        <v>6</v>
      </c>
      <c r="AG57" s="89">
        <v>15</v>
      </c>
      <c r="AH57" s="89">
        <v>0</v>
      </c>
      <c r="AI57" s="89">
        <v>60</v>
      </c>
      <c r="AJ57" s="89">
        <v>0</v>
      </c>
      <c r="AK57" s="89">
        <v>0</v>
      </c>
      <c r="AL57" s="89">
        <v>2</v>
      </c>
      <c r="AM57" s="89">
        <v>0</v>
      </c>
      <c r="AN57" s="89">
        <v>60</v>
      </c>
      <c r="AO57" s="89">
        <v>0</v>
      </c>
      <c r="AP57" s="89">
        <v>5</v>
      </c>
      <c r="AQ57" s="89">
        <v>12</v>
      </c>
      <c r="AR57" s="89">
        <v>5</v>
      </c>
      <c r="AS57" s="89">
        <v>0</v>
      </c>
      <c r="AT57" s="89">
        <v>0</v>
      </c>
      <c r="AU57" s="89" t="s">
        <v>357</v>
      </c>
      <c r="AV57" s="100">
        <v>144</v>
      </c>
      <c r="AW57" s="89" t="s">
        <v>372</v>
      </c>
      <c r="AX57" s="89"/>
      <c r="AY57" s="89" t="s">
        <v>359</v>
      </c>
      <c r="AZ57" s="89" t="s">
        <v>359</v>
      </c>
      <c r="BA57" s="89" t="s">
        <v>359</v>
      </c>
      <c r="BB57" s="89" t="s">
        <v>359</v>
      </c>
      <c r="BC57" s="89" t="s">
        <v>359</v>
      </c>
      <c r="BD57" s="89" t="s">
        <v>476</v>
      </c>
      <c r="BE57" s="89" t="s">
        <v>359</v>
      </c>
      <c r="BF57" s="89" t="s">
        <v>359</v>
      </c>
      <c r="BG57" s="89" t="s">
        <v>359</v>
      </c>
      <c r="BH57" s="89" t="s">
        <v>651</v>
      </c>
      <c r="BI57" s="89" t="s">
        <v>652</v>
      </c>
      <c r="BJ57" s="89"/>
      <c r="BK57" s="82" t="s">
        <v>2018</v>
      </c>
      <c r="BL57" s="82" t="s">
        <v>2026</v>
      </c>
      <c r="BM57" s="89" t="s">
        <v>692</v>
      </c>
      <c r="BN57" s="89" t="b">
        <v>0</v>
      </c>
      <c r="BO57" s="83"/>
    </row>
    <row r="58" spans="1:67">
      <c r="A58" s="85">
        <v>100224</v>
      </c>
      <c r="B58" s="83" t="s">
        <v>102</v>
      </c>
      <c r="C58" s="83" t="s">
        <v>95</v>
      </c>
      <c r="D58" s="83" t="s">
        <v>693</v>
      </c>
      <c r="E58" s="83" t="s">
        <v>662</v>
      </c>
      <c r="F58" s="86" t="s">
        <v>663</v>
      </c>
      <c r="G58" s="86" t="s">
        <v>663</v>
      </c>
      <c r="H58" s="83"/>
      <c r="I58" s="83" t="s">
        <v>694</v>
      </c>
      <c r="J58" s="83" t="s">
        <v>695</v>
      </c>
      <c r="K58" s="83" t="s">
        <v>370</v>
      </c>
      <c r="L58" s="82">
        <v>124</v>
      </c>
      <c r="M58" s="82" t="s">
        <v>353</v>
      </c>
      <c r="N58" s="82" t="s">
        <v>354</v>
      </c>
      <c r="O58" s="82">
        <v>124</v>
      </c>
      <c r="P58" s="82" t="s">
        <v>353</v>
      </c>
      <c r="Q58" s="82" t="s">
        <v>630</v>
      </c>
      <c r="R58" s="83" t="s">
        <v>371</v>
      </c>
      <c r="S58" s="83"/>
      <c r="T58" s="83"/>
      <c r="U58" s="84"/>
      <c r="V58" s="84"/>
      <c r="W58" s="84"/>
      <c r="X58" s="83"/>
      <c r="Y58" s="83"/>
      <c r="Z58" s="83"/>
      <c r="AA58" s="83"/>
      <c r="AB58" s="84"/>
      <c r="AC58" s="84"/>
      <c r="AD58" s="83"/>
      <c r="AE58" s="83"/>
      <c r="AF58" s="82">
        <v>8</v>
      </c>
      <c r="AG58" s="82">
        <v>16</v>
      </c>
      <c r="AH58" s="82">
        <v>0</v>
      </c>
      <c r="AI58" s="82">
        <v>70</v>
      </c>
      <c r="AJ58" s="82">
        <v>0</v>
      </c>
      <c r="AK58" s="82">
        <v>0</v>
      </c>
      <c r="AL58" s="82">
        <v>2</v>
      </c>
      <c r="AM58" s="82">
        <v>0</v>
      </c>
      <c r="AN58" s="82">
        <v>76</v>
      </c>
      <c r="AO58" s="82">
        <v>0</v>
      </c>
      <c r="AP58" s="82">
        <v>0</v>
      </c>
      <c r="AQ58" s="82">
        <v>13</v>
      </c>
      <c r="AR58" s="82">
        <v>7</v>
      </c>
      <c r="AS58" s="82">
        <v>0</v>
      </c>
      <c r="AT58" s="82">
        <v>0</v>
      </c>
      <c r="AU58" s="83"/>
      <c r="AV58" s="83">
        <f>24*6</f>
        <v>144</v>
      </c>
      <c r="AW58" s="83" t="s">
        <v>372</v>
      </c>
      <c r="AX58" s="83" t="s">
        <v>373</v>
      </c>
      <c r="AY58" s="83" t="s">
        <v>359</v>
      </c>
      <c r="AZ58" s="83" t="s">
        <v>359</v>
      </c>
      <c r="BA58" s="83" t="s">
        <v>359</v>
      </c>
      <c r="BB58" s="83" t="s">
        <v>359</v>
      </c>
      <c r="BC58" s="83" t="s">
        <v>359</v>
      </c>
      <c r="BD58" s="83" t="s">
        <v>359</v>
      </c>
      <c r="BE58" s="83" t="s">
        <v>359</v>
      </c>
      <c r="BF58" s="83" t="s">
        <v>359</v>
      </c>
      <c r="BG58" s="83" t="s">
        <v>359</v>
      </c>
      <c r="BH58" s="83" t="s">
        <v>666</v>
      </c>
      <c r="BI58" s="83"/>
      <c r="BJ58" s="83"/>
      <c r="BK58" s="88">
        <v>44823.234768518523</v>
      </c>
      <c r="BL58" s="74">
        <v>45156.776296296302</v>
      </c>
      <c r="BM58" s="82" t="s">
        <v>692</v>
      </c>
      <c r="BN58" s="82" t="b">
        <v>0</v>
      </c>
      <c r="BO58" s="83"/>
    </row>
    <row r="59" spans="1:67">
      <c r="A59" s="73">
        <v>100224</v>
      </c>
      <c r="B59" s="82" t="s">
        <v>102</v>
      </c>
      <c r="C59" s="82" t="s">
        <v>95</v>
      </c>
      <c r="D59" s="82" t="s">
        <v>696</v>
      </c>
      <c r="E59" s="82" t="s">
        <v>697</v>
      </c>
      <c r="F59" s="82" t="s">
        <v>698</v>
      </c>
      <c r="G59" s="82" t="s">
        <v>699</v>
      </c>
      <c r="H59" s="82" t="s">
        <v>1912</v>
      </c>
      <c r="I59" s="82" t="s">
        <v>700</v>
      </c>
      <c r="J59" s="82" t="s">
        <v>701</v>
      </c>
      <c r="K59" s="82" t="s">
        <v>370</v>
      </c>
      <c r="L59" s="82">
        <v>128</v>
      </c>
      <c r="M59" s="82" t="s">
        <v>353</v>
      </c>
      <c r="N59" s="82" t="s">
        <v>354</v>
      </c>
      <c r="O59" s="82"/>
      <c r="P59" s="82"/>
      <c r="Q59" s="82" t="s">
        <v>630</v>
      </c>
      <c r="R59" s="82" t="s">
        <v>371</v>
      </c>
      <c r="S59" s="82"/>
      <c r="T59" s="82"/>
      <c r="U59" s="90"/>
      <c r="V59" s="90"/>
      <c r="W59" s="90"/>
      <c r="X59" s="82"/>
      <c r="Y59" s="82"/>
      <c r="Z59" s="82"/>
      <c r="AA59" s="82"/>
      <c r="AB59" s="90"/>
      <c r="AC59" s="90"/>
      <c r="AD59" s="82"/>
      <c r="AE59" s="82"/>
      <c r="AF59" s="82">
        <v>9</v>
      </c>
      <c r="AG59" s="82">
        <v>17</v>
      </c>
      <c r="AH59" s="82">
        <v>0</v>
      </c>
      <c r="AI59" s="82">
        <v>70</v>
      </c>
      <c r="AJ59" s="82">
        <v>0</v>
      </c>
      <c r="AK59" s="82">
        <v>0</v>
      </c>
      <c r="AL59" s="82">
        <v>3</v>
      </c>
      <c r="AM59" s="82">
        <v>0</v>
      </c>
      <c r="AN59" s="82">
        <v>99</v>
      </c>
      <c r="AO59" s="82">
        <v>0</v>
      </c>
      <c r="AP59" s="82">
        <v>0</v>
      </c>
      <c r="AQ59" s="82">
        <v>12</v>
      </c>
      <c r="AR59" s="82">
        <v>4</v>
      </c>
      <c r="AS59" s="82">
        <v>0</v>
      </c>
      <c r="AT59" s="82">
        <v>0</v>
      </c>
      <c r="AU59" s="82" t="s">
        <v>357</v>
      </c>
      <c r="AV59" s="82">
        <v>126</v>
      </c>
      <c r="AW59" s="83" t="s">
        <v>358</v>
      </c>
      <c r="AX59" s="83" t="s">
        <v>373</v>
      </c>
      <c r="AY59" s="83" t="s">
        <v>359</v>
      </c>
      <c r="AZ59" s="83" t="s">
        <v>359</v>
      </c>
      <c r="BA59" s="83" t="s">
        <v>359</v>
      </c>
      <c r="BB59" s="83" t="s">
        <v>359</v>
      </c>
      <c r="BC59" s="83" t="s">
        <v>359</v>
      </c>
      <c r="BD59" s="83" t="s">
        <v>359</v>
      </c>
      <c r="BE59" s="83" t="s">
        <v>359</v>
      </c>
      <c r="BF59" s="83" t="s">
        <v>359</v>
      </c>
      <c r="BG59" s="83" t="s">
        <v>359</v>
      </c>
      <c r="BH59" s="82" t="s">
        <v>702</v>
      </c>
      <c r="BI59" s="83" t="s">
        <v>656</v>
      </c>
      <c r="BJ59" s="83"/>
      <c r="BK59" s="82" t="s">
        <v>1990</v>
      </c>
      <c r="BL59" s="82" t="s">
        <v>1998</v>
      </c>
      <c r="BM59" s="82" t="s">
        <v>703</v>
      </c>
      <c r="BN59" s="82" t="b">
        <v>0</v>
      </c>
      <c r="BO59" s="83"/>
    </row>
    <row r="60" spans="1:67">
      <c r="A60" s="100">
        <v>100225</v>
      </c>
      <c r="B60" s="89" t="s">
        <v>103</v>
      </c>
      <c r="C60" s="89" t="s">
        <v>95</v>
      </c>
      <c r="D60" s="89" t="s">
        <v>704</v>
      </c>
      <c r="E60" s="89" t="s">
        <v>647</v>
      </c>
      <c r="F60" s="89" t="s">
        <v>647</v>
      </c>
      <c r="G60" s="89" t="s">
        <v>648</v>
      </c>
      <c r="H60" s="82" t="s">
        <v>2032</v>
      </c>
      <c r="I60" s="89" t="s">
        <v>705</v>
      </c>
      <c r="J60" s="89" t="s">
        <v>691</v>
      </c>
      <c r="K60" s="89"/>
      <c r="L60" s="89">
        <v>124</v>
      </c>
      <c r="M60" s="89" t="s">
        <v>353</v>
      </c>
      <c r="N60" s="89" t="s">
        <v>354</v>
      </c>
      <c r="O60" s="89">
        <v>124</v>
      </c>
      <c r="P60" s="89" t="s">
        <v>353</v>
      </c>
      <c r="Q60" s="89" t="s">
        <v>630</v>
      </c>
      <c r="R60" s="89" t="s">
        <v>371</v>
      </c>
      <c r="S60" s="89"/>
      <c r="T60" s="89"/>
      <c r="U60" s="93"/>
      <c r="V60" s="93"/>
      <c r="W60" s="93"/>
      <c r="X60" s="89"/>
      <c r="Y60" s="89"/>
      <c r="Z60" s="89"/>
      <c r="AA60" s="89"/>
      <c r="AB60" s="93"/>
      <c r="AC60" s="93"/>
      <c r="AD60" s="89"/>
      <c r="AE60" s="89"/>
      <c r="AF60" s="89">
        <v>6</v>
      </c>
      <c r="AG60" s="89">
        <v>16</v>
      </c>
      <c r="AH60" s="89">
        <v>0</v>
      </c>
      <c r="AI60" s="89">
        <v>60</v>
      </c>
      <c r="AJ60" s="89">
        <v>0</v>
      </c>
      <c r="AK60" s="89">
        <v>0</v>
      </c>
      <c r="AL60" s="89">
        <v>2</v>
      </c>
      <c r="AM60" s="89">
        <v>0</v>
      </c>
      <c r="AN60" s="89">
        <v>65</v>
      </c>
      <c r="AO60" s="89">
        <v>0</v>
      </c>
      <c r="AP60" s="89">
        <v>5</v>
      </c>
      <c r="AQ60" s="89">
        <v>12</v>
      </c>
      <c r="AR60" s="89">
        <v>4</v>
      </c>
      <c r="AS60" s="89">
        <v>0</v>
      </c>
      <c r="AT60" s="89">
        <v>0</v>
      </c>
      <c r="AU60" s="89" t="s">
        <v>357</v>
      </c>
      <c r="AV60" s="100">
        <v>144</v>
      </c>
      <c r="AW60" s="89" t="s">
        <v>372</v>
      </c>
      <c r="AX60" s="89"/>
      <c r="AY60" s="89" t="s">
        <v>359</v>
      </c>
      <c r="AZ60" s="89" t="s">
        <v>359</v>
      </c>
      <c r="BA60" s="89" t="s">
        <v>359</v>
      </c>
      <c r="BB60" s="89" t="s">
        <v>359</v>
      </c>
      <c r="BC60" s="89" t="s">
        <v>359</v>
      </c>
      <c r="BD60" s="89" t="s">
        <v>476</v>
      </c>
      <c r="BE60" s="89" t="s">
        <v>359</v>
      </c>
      <c r="BF60" s="89" t="s">
        <v>359</v>
      </c>
      <c r="BG60" s="89" t="s">
        <v>359</v>
      </c>
      <c r="BH60" s="89" t="s">
        <v>706</v>
      </c>
      <c r="BI60" s="89" t="s">
        <v>652</v>
      </c>
      <c r="BJ60" s="89"/>
      <c r="BK60" s="82" t="s">
        <v>2018</v>
      </c>
      <c r="BL60" s="82" t="s">
        <v>2026</v>
      </c>
      <c r="BM60" s="89" t="s">
        <v>707</v>
      </c>
      <c r="BN60" s="89" t="b">
        <v>0</v>
      </c>
      <c r="BO60" s="83"/>
    </row>
    <row r="61" spans="1:67">
      <c r="A61" s="85">
        <v>100225</v>
      </c>
      <c r="B61" s="83" t="s">
        <v>103</v>
      </c>
      <c r="C61" s="83" t="s">
        <v>95</v>
      </c>
      <c r="D61" s="83" t="s">
        <v>708</v>
      </c>
      <c r="E61" s="83" t="s">
        <v>662</v>
      </c>
      <c r="F61" s="86" t="s">
        <v>663</v>
      </c>
      <c r="G61" s="86" t="s">
        <v>663</v>
      </c>
      <c r="H61" s="83"/>
      <c r="I61" s="83" t="s">
        <v>709</v>
      </c>
      <c r="J61" s="83" t="s">
        <v>710</v>
      </c>
      <c r="K61" s="83" t="s">
        <v>370</v>
      </c>
      <c r="L61" s="82">
        <v>124</v>
      </c>
      <c r="M61" s="82" t="s">
        <v>353</v>
      </c>
      <c r="N61" s="82" t="s">
        <v>354</v>
      </c>
      <c r="O61" s="82">
        <v>124</v>
      </c>
      <c r="P61" s="82" t="s">
        <v>353</v>
      </c>
      <c r="Q61" s="82" t="s">
        <v>630</v>
      </c>
      <c r="R61" s="83" t="s">
        <v>371</v>
      </c>
      <c r="S61" s="83"/>
      <c r="T61" s="83"/>
      <c r="U61" s="84"/>
      <c r="V61" s="84"/>
      <c r="W61" s="84"/>
      <c r="X61" s="83"/>
      <c r="Y61" s="83"/>
      <c r="Z61" s="83"/>
      <c r="AA61" s="83"/>
      <c r="AB61" s="84"/>
      <c r="AC61" s="84"/>
      <c r="AD61" s="83"/>
      <c r="AE61" s="83"/>
      <c r="AF61" s="82">
        <v>8</v>
      </c>
      <c r="AG61" s="82">
        <v>16</v>
      </c>
      <c r="AH61" s="82">
        <v>0</v>
      </c>
      <c r="AI61" s="82">
        <v>70</v>
      </c>
      <c r="AJ61" s="82">
        <v>0</v>
      </c>
      <c r="AK61" s="82">
        <v>0</v>
      </c>
      <c r="AL61" s="82">
        <v>2</v>
      </c>
      <c r="AM61" s="82">
        <v>0</v>
      </c>
      <c r="AN61" s="82">
        <v>76</v>
      </c>
      <c r="AO61" s="82">
        <v>0</v>
      </c>
      <c r="AP61" s="82">
        <v>0</v>
      </c>
      <c r="AQ61" s="82">
        <v>13</v>
      </c>
      <c r="AR61" s="82">
        <v>7</v>
      </c>
      <c r="AS61" s="82">
        <v>0</v>
      </c>
      <c r="AT61" s="82">
        <v>0</v>
      </c>
      <c r="AU61" s="82"/>
      <c r="AV61" s="83">
        <f>24*6</f>
        <v>144</v>
      </c>
      <c r="AW61" s="82" t="s">
        <v>372</v>
      </c>
      <c r="AX61" s="83" t="s">
        <v>373</v>
      </c>
      <c r="AY61" s="83" t="s">
        <v>359</v>
      </c>
      <c r="AZ61" s="83" t="s">
        <v>359</v>
      </c>
      <c r="BA61" s="83" t="s">
        <v>359</v>
      </c>
      <c r="BB61" s="83" t="s">
        <v>359</v>
      </c>
      <c r="BC61" s="83" t="s">
        <v>359</v>
      </c>
      <c r="BD61" s="83" t="s">
        <v>359</v>
      </c>
      <c r="BE61" s="83" t="s">
        <v>359</v>
      </c>
      <c r="BF61" s="83" t="s">
        <v>359</v>
      </c>
      <c r="BG61" s="83" t="s">
        <v>359</v>
      </c>
      <c r="BH61" s="83" t="s">
        <v>711</v>
      </c>
      <c r="BI61" s="82" t="s">
        <v>656</v>
      </c>
      <c r="BJ61" s="83"/>
      <c r="BK61" s="88">
        <v>44823.23909722222</v>
      </c>
      <c r="BL61" s="74">
        <v>45156.777743055558</v>
      </c>
      <c r="BM61" s="82" t="s">
        <v>692</v>
      </c>
      <c r="BN61" s="82" t="b">
        <v>0</v>
      </c>
      <c r="BO61" s="83"/>
    </row>
    <row r="62" spans="1:67">
      <c r="A62" s="85">
        <v>100225</v>
      </c>
      <c r="B62" s="83" t="s">
        <v>103</v>
      </c>
      <c r="C62" s="83" t="s">
        <v>95</v>
      </c>
      <c r="D62" s="83" t="s">
        <v>712</v>
      </c>
      <c r="E62" s="82" t="s">
        <v>697</v>
      </c>
      <c r="F62" s="82" t="s">
        <v>698</v>
      </c>
      <c r="G62" s="82" t="s">
        <v>699</v>
      </c>
      <c r="H62" s="82" t="s">
        <v>1913</v>
      </c>
      <c r="I62" s="82" t="s">
        <v>713</v>
      </c>
      <c r="J62" s="82" t="s">
        <v>714</v>
      </c>
      <c r="K62" s="82" t="s">
        <v>370</v>
      </c>
      <c r="L62" s="82">
        <v>128</v>
      </c>
      <c r="M62" s="82" t="s">
        <v>353</v>
      </c>
      <c r="N62" s="82" t="s">
        <v>354</v>
      </c>
      <c r="O62" s="82"/>
      <c r="P62" s="82"/>
      <c r="Q62" s="82" t="s">
        <v>630</v>
      </c>
      <c r="R62" s="82" t="s">
        <v>371</v>
      </c>
      <c r="S62" s="82"/>
      <c r="T62" s="83"/>
      <c r="U62" s="84"/>
      <c r="V62" s="84"/>
      <c r="W62" s="84"/>
      <c r="X62" s="83"/>
      <c r="Y62" s="83"/>
      <c r="Z62" s="83"/>
      <c r="AA62" s="83"/>
      <c r="AB62" s="84"/>
      <c r="AC62" s="84"/>
      <c r="AD62" s="83"/>
      <c r="AE62" s="83"/>
      <c r="AF62" s="82">
        <v>9</v>
      </c>
      <c r="AG62" s="82">
        <v>18</v>
      </c>
      <c r="AH62" s="82">
        <v>0</v>
      </c>
      <c r="AI62" s="82">
        <v>70</v>
      </c>
      <c r="AJ62" s="82">
        <v>0</v>
      </c>
      <c r="AK62" s="82">
        <v>0</v>
      </c>
      <c r="AL62" s="82">
        <v>3</v>
      </c>
      <c r="AM62" s="82">
        <v>0</v>
      </c>
      <c r="AN62" s="82">
        <v>106</v>
      </c>
      <c r="AO62" s="82">
        <v>0</v>
      </c>
      <c r="AP62" s="82">
        <v>0</v>
      </c>
      <c r="AQ62" s="82">
        <v>12</v>
      </c>
      <c r="AR62" s="82">
        <v>3</v>
      </c>
      <c r="AS62" s="82">
        <v>0</v>
      </c>
      <c r="AT62" s="82">
        <v>0</v>
      </c>
      <c r="AU62" s="82" t="s">
        <v>357</v>
      </c>
      <c r="AV62" s="82">
        <v>126</v>
      </c>
      <c r="AW62" s="82" t="s">
        <v>358</v>
      </c>
      <c r="AX62" s="83" t="s">
        <v>373</v>
      </c>
      <c r="AY62" s="83" t="s">
        <v>359</v>
      </c>
      <c r="AZ62" s="83" t="s">
        <v>359</v>
      </c>
      <c r="BA62" s="83" t="s">
        <v>359</v>
      </c>
      <c r="BB62" s="83" t="s">
        <v>359</v>
      </c>
      <c r="BC62" s="83" t="s">
        <v>359</v>
      </c>
      <c r="BD62" s="83" t="s">
        <v>359</v>
      </c>
      <c r="BE62" s="83" t="s">
        <v>359</v>
      </c>
      <c r="BF62" s="83" t="s">
        <v>359</v>
      </c>
      <c r="BG62" s="83" t="s">
        <v>359</v>
      </c>
      <c r="BH62" s="82" t="s">
        <v>702</v>
      </c>
      <c r="BI62" s="82" t="s">
        <v>656</v>
      </c>
      <c r="BJ62" s="82"/>
      <c r="BK62" s="82" t="s">
        <v>1990</v>
      </c>
      <c r="BL62" s="82" t="s">
        <v>1999</v>
      </c>
      <c r="BM62" s="82" t="s">
        <v>715</v>
      </c>
      <c r="BN62" s="82" t="b">
        <v>0</v>
      </c>
      <c r="BO62" s="83"/>
    </row>
    <row r="63" spans="1:67">
      <c r="A63" s="85">
        <v>100226</v>
      </c>
      <c r="B63" s="83" t="s">
        <v>104</v>
      </c>
      <c r="C63" s="83" t="s">
        <v>95</v>
      </c>
      <c r="D63" s="83" t="s">
        <v>716</v>
      </c>
      <c r="E63" s="83" t="s">
        <v>662</v>
      </c>
      <c r="F63" s="86" t="s">
        <v>663</v>
      </c>
      <c r="G63" s="86" t="s">
        <v>663</v>
      </c>
      <c r="H63" s="83"/>
      <c r="I63" s="83" t="s">
        <v>717</v>
      </c>
      <c r="J63" s="83" t="s">
        <v>718</v>
      </c>
      <c r="K63" s="83" t="s">
        <v>370</v>
      </c>
      <c r="L63" s="82">
        <v>124</v>
      </c>
      <c r="M63" s="82" t="s">
        <v>353</v>
      </c>
      <c r="N63" s="82" t="s">
        <v>354</v>
      </c>
      <c r="O63" s="82">
        <v>124</v>
      </c>
      <c r="P63" s="82" t="s">
        <v>353</v>
      </c>
      <c r="Q63" s="82" t="s">
        <v>630</v>
      </c>
      <c r="R63" s="83" t="s">
        <v>371</v>
      </c>
      <c r="S63" s="83"/>
      <c r="T63" s="83"/>
      <c r="U63" s="84"/>
      <c r="V63" s="84"/>
      <c r="W63" s="84"/>
      <c r="X63" s="83"/>
      <c r="Y63" s="83"/>
      <c r="Z63" s="83"/>
      <c r="AA63" s="83"/>
      <c r="AB63" s="84"/>
      <c r="AC63" s="84"/>
      <c r="AD63" s="83"/>
      <c r="AE63" s="83"/>
      <c r="AF63" s="82">
        <v>8</v>
      </c>
      <c r="AG63" s="82">
        <v>16</v>
      </c>
      <c r="AH63" s="82">
        <v>0</v>
      </c>
      <c r="AI63" s="82">
        <v>70</v>
      </c>
      <c r="AJ63" s="82">
        <v>0</v>
      </c>
      <c r="AK63" s="82">
        <v>0</v>
      </c>
      <c r="AL63" s="82">
        <v>2</v>
      </c>
      <c r="AM63" s="82">
        <v>0</v>
      </c>
      <c r="AN63" s="82">
        <v>76</v>
      </c>
      <c r="AO63" s="82">
        <v>0</v>
      </c>
      <c r="AP63" s="82">
        <v>0</v>
      </c>
      <c r="AQ63" s="82">
        <v>13</v>
      </c>
      <c r="AR63" s="82">
        <v>7</v>
      </c>
      <c r="AS63" s="82">
        <v>0</v>
      </c>
      <c r="AT63" s="82">
        <v>0</v>
      </c>
      <c r="AU63" s="82"/>
      <c r="AV63" s="83">
        <f>24*6</f>
        <v>144</v>
      </c>
      <c r="AW63" s="82" t="s">
        <v>372</v>
      </c>
      <c r="AX63" s="83" t="s">
        <v>373</v>
      </c>
      <c r="AY63" s="83" t="s">
        <v>359</v>
      </c>
      <c r="AZ63" s="83" t="s">
        <v>359</v>
      </c>
      <c r="BA63" s="83" t="s">
        <v>359</v>
      </c>
      <c r="BB63" s="83" t="s">
        <v>359</v>
      </c>
      <c r="BC63" s="83" t="s">
        <v>359</v>
      </c>
      <c r="BD63" s="83" t="s">
        <v>359</v>
      </c>
      <c r="BE63" s="83" t="s">
        <v>359</v>
      </c>
      <c r="BF63" s="83" t="s">
        <v>359</v>
      </c>
      <c r="BG63" s="83" t="s">
        <v>359</v>
      </c>
      <c r="BH63" s="83" t="s">
        <v>666</v>
      </c>
      <c r="BI63" s="83"/>
      <c r="BJ63" s="83"/>
      <c r="BK63" s="88">
        <v>44823.239212962973</v>
      </c>
      <c r="BL63" s="74">
        <v>45156.779641203713</v>
      </c>
      <c r="BM63" s="82" t="s">
        <v>692</v>
      </c>
      <c r="BN63" s="82" t="b">
        <v>0</v>
      </c>
      <c r="BO63" s="86"/>
    </row>
    <row r="64" spans="1:67">
      <c r="A64" s="85">
        <v>100226</v>
      </c>
      <c r="B64" s="83" t="s">
        <v>104</v>
      </c>
      <c r="C64" s="83" t="s">
        <v>95</v>
      </c>
      <c r="D64" s="83" t="s">
        <v>719</v>
      </c>
      <c r="E64" s="82" t="s">
        <v>697</v>
      </c>
      <c r="F64" s="82" t="s">
        <v>698</v>
      </c>
      <c r="G64" s="83" t="s">
        <v>699</v>
      </c>
      <c r="H64" s="82" t="s">
        <v>1914</v>
      </c>
      <c r="I64" s="82" t="s">
        <v>720</v>
      </c>
      <c r="J64" s="82" t="s">
        <v>721</v>
      </c>
      <c r="K64" s="82" t="s">
        <v>370</v>
      </c>
      <c r="L64" s="82">
        <v>128</v>
      </c>
      <c r="M64" s="82" t="s">
        <v>353</v>
      </c>
      <c r="N64" s="82" t="s">
        <v>354</v>
      </c>
      <c r="O64" s="82"/>
      <c r="P64" s="82"/>
      <c r="Q64" s="82" t="s">
        <v>630</v>
      </c>
      <c r="R64" s="82" t="s">
        <v>371</v>
      </c>
      <c r="S64" s="83"/>
      <c r="T64" s="83"/>
      <c r="U64" s="84"/>
      <c r="V64" s="84"/>
      <c r="W64" s="84"/>
      <c r="X64" s="83"/>
      <c r="Y64" s="83"/>
      <c r="Z64" s="83"/>
      <c r="AA64" s="83"/>
      <c r="AB64" s="84"/>
      <c r="AC64" s="84"/>
      <c r="AD64" s="83"/>
      <c r="AE64" s="83"/>
      <c r="AF64" s="82">
        <v>9</v>
      </c>
      <c r="AG64" s="82">
        <v>17</v>
      </c>
      <c r="AH64" s="82">
        <v>0</v>
      </c>
      <c r="AI64" s="82">
        <v>70</v>
      </c>
      <c r="AJ64" s="82">
        <v>0</v>
      </c>
      <c r="AK64" s="82">
        <v>0</v>
      </c>
      <c r="AL64" s="82">
        <v>3</v>
      </c>
      <c r="AM64" s="82">
        <v>0</v>
      </c>
      <c r="AN64" s="82">
        <v>96</v>
      </c>
      <c r="AO64" s="82">
        <v>0</v>
      </c>
      <c r="AP64" s="82">
        <v>0</v>
      </c>
      <c r="AQ64" s="82">
        <v>12</v>
      </c>
      <c r="AR64" s="82">
        <v>4</v>
      </c>
      <c r="AS64" s="82">
        <v>0</v>
      </c>
      <c r="AT64" s="82">
        <v>0</v>
      </c>
      <c r="AU64" s="82" t="s">
        <v>357</v>
      </c>
      <c r="AV64" s="82">
        <v>126</v>
      </c>
      <c r="AW64" s="83" t="s">
        <v>358</v>
      </c>
      <c r="AX64" s="85" t="s">
        <v>373</v>
      </c>
      <c r="AY64" s="83" t="s">
        <v>359</v>
      </c>
      <c r="AZ64" s="83" t="s">
        <v>359</v>
      </c>
      <c r="BA64" s="83" t="s">
        <v>359</v>
      </c>
      <c r="BB64" s="83" t="s">
        <v>359</v>
      </c>
      <c r="BC64" s="82" t="s">
        <v>359</v>
      </c>
      <c r="BD64" s="83" t="s">
        <v>359</v>
      </c>
      <c r="BE64" s="83" t="s">
        <v>359</v>
      </c>
      <c r="BF64" s="83" t="s">
        <v>359</v>
      </c>
      <c r="BG64" s="83" t="s">
        <v>359</v>
      </c>
      <c r="BH64" s="82" t="s">
        <v>702</v>
      </c>
      <c r="BI64" s="82" t="s">
        <v>656</v>
      </c>
      <c r="BJ64" s="82"/>
      <c r="BK64" s="82" t="s">
        <v>1990</v>
      </c>
      <c r="BL64" s="82" t="s">
        <v>2000</v>
      </c>
      <c r="BM64" s="82" t="s">
        <v>703</v>
      </c>
      <c r="BN64" s="82" t="b">
        <v>0</v>
      </c>
      <c r="BO64" s="89"/>
    </row>
    <row r="65" spans="1:67">
      <c r="A65" s="73">
        <v>100238</v>
      </c>
      <c r="B65" s="82" t="s">
        <v>105</v>
      </c>
      <c r="C65" s="82" t="s">
        <v>95</v>
      </c>
      <c r="D65" s="82" t="s">
        <v>722</v>
      </c>
      <c r="E65" s="82" t="s">
        <v>723</v>
      </c>
      <c r="F65" s="82" t="s">
        <v>724</v>
      </c>
      <c r="G65" s="82" t="s">
        <v>724</v>
      </c>
      <c r="H65" s="82" t="s">
        <v>725</v>
      </c>
      <c r="I65" s="82" t="s">
        <v>725</v>
      </c>
      <c r="J65" s="82" t="s">
        <v>725</v>
      </c>
      <c r="K65" s="82" t="s">
        <v>370</v>
      </c>
      <c r="L65" s="82">
        <v>140</v>
      </c>
      <c r="M65" s="82" t="s">
        <v>353</v>
      </c>
      <c r="N65" s="82" t="s">
        <v>354</v>
      </c>
      <c r="O65" s="82">
        <v>140</v>
      </c>
      <c r="P65" s="82" t="s">
        <v>353</v>
      </c>
      <c r="Q65" s="82" t="s">
        <v>726</v>
      </c>
      <c r="R65" s="82" t="s">
        <v>462</v>
      </c>
      <c r="S65" s="82"/>
      <c r="T65" s="82"/>
      <c r="U65" s="82"/>
      <c r="V65" s="82"/>
      <c r="W65" s="82"/>
      <c r="X65" s="82"/>
      <c r="Y65" s="82"/>
      <c r="Z65" s="82"/>
      <c r="AA65" s="82"/>
      <c r="AB65" s="82"/>
      <c r="AC65" s="82"/>
      <c r="AD65" s="82"/>
      <c r="AE65" s="82"/>
      <c r="AF65" s="82">
        <v>0</v>
      </c>
      <c r="AG65" s="82">
        <v>19</v>
      </c>
      <c r="AH65" s="82">
        <v>0</v>
      </c>
      <c r="AI65" s="82">
        <v>80</v>
      </c>
      <c r="AJ65" s="82">
        <v>0</v>
      </c>
      <c r="AK65" s="82">
        <v>0</v>
      </c>
      <c r="AL65" s="82">
        <v>2</v>
      </c>
      <c r="AM65" s="82">
        <v>0</v>
      </c>
      <c r="AN65" s="82">
        <v>270</v>
      </c>
      <c r="AO65" s="82">
        <v>1</v>
      </c>
      <c r="AP65" s="82">
        <v>5</v>
      </c>
      <c r="AQ65" s="82">
        <v>14</v>
      </c>
      <c r="AR65" s="82">
        <v>9</v>
      </c>
      <c r="AS65" s="82">
        <v>0</v>
      </c>
      <c r="AT65" s="82">
        <v>0</v>
      </c>
      <c r="AU65" s="82"/>
      <c r="AV65" s="82">
        <f>12*12</f>
        <v>144</v>
      </c>
      <c r="AW65" s="82" t="s">
        <v>358</v>
      </c>
      <c r="AX65" s="82" t="b">
        <v>1</v>
      </c>
      <c r="AY65" s="82" t="s">
        <v>359</v>
      </c>
      <c r="AZ65" s="82" t="s">
        <v>359</v>
      </c>
      <c r="BA65" s="82" t="s">
        <v>359</v>
      </c>
      <c r="BB65" s="82" t="s">
        <v>359</v>
      </c>
      <c r="BC65" s="82" t="s">
        <v>359</v>
      </c>
      <c r="BD65" s="82" t="s">
        <v>359</v>
      </c>
      <c r="BE65" s="82" t="s">
        <v>359</v>
      </c>
      <c r="BF65" s="82" t="s">
        <v>359</v>
      </c>
      <c r="BG65" s="82" t="s">
        <v>359</v>
      </c>
      <c r="BH65" s="82" t="s">
        <v>727</v>
      </c>
      <c r="BI65" s="82"/>
      <c r="BJ65" s="82"/>
      <c r="BK65" s="74">
        <v>45352.353159722217</v>
      </c>
      <c r="BL65" s="74">
        <v>45351.373923611107</v>
      </c>
      <c r="BM65" s="82" t="s">
        <v>728</v>
      </c>
      <c r="BN65" s="82" t="b">
        <v>0</v>
      </c>
      <c r="BO65" s="89"/>
    </row>
    <row r="66" spans="1:67">
      <c r="A66" s="100">
        <v>100238</v>
      </c>
      <c r="B66" s="89" t="s">
        <v>105</v>
      </c>
      <c r="C66" s="89" t="s">
        <v>95</v>
      </c>
      <c r="D66" s="89" t="s">
        <v>729</v>
      </c>
      <c r="E66" s="89" t="s">
        <v>723</v>
      </c>
      <c r="F66" s="89" t="s">
        <v>724</v>
      </c>
      <c r="G66" s="89" t="s">
        <v>724</v>
      </c>
      <c r="H66" s="89" t="s">
        <v>725</v>
      </c>
      <c r="I66" s="89" t="s">
        <v>725</v>
      </c>
      <c r="J66" s="89" t="s">
        <v>725</v>
      </c>
      <c r="K66" s="89" t="s">
        <v>370</v>
      </c>
      <c r="L66" s="89">
        <v>140</v>
      </c>
      <c r="M66" s="89" t="s">
        <v>353</v>
      </c>
      <c r="N66" s="89" t="s">
        <v>354</v>
      </c>
      <c r="O66" s="89">
        <v>140</v>
      </c>
      <c r="P66" s="89" t="s">
        <v>353</v>
      </c>
      <c r="Q66" s="89" t="s">
        <v>726</v>
      </c>
      <c r="R66" s="89" t="s">
        <v>462</v>
      </c>
      <c r="S66" s="89"/>
      <c r="T66" s="89"/>
      <c r="U66" s="93"/>
      <c r="V66" s="93"/>
      <c r="W66" s="93"/>
      <c r="X66" s="89"/>
      <c r="Y66" s="89"/>
      <c r="Z66" s="89"/>
      <c r="AA66" s="89"/>
      <c r="AB66" s="93"/>
      <c r="AC66" s="93"/>
      <c r="AD66" s="89"/>
      <c r="AE66" s="89"/>
      <c r="AF66" s="89">
        <v>0</v>
      </c>
      <c r="AG66" s="89">
        <v>19</v>
      </c>
      <c r="AH66" s="89">
        <v>0</v>
      </c>
      <c r="AI66" s="89">
        <v>80</v>
      </c>
      <c r="AJ66" s="89">
        <v>0</v>
      </c>
      <c r="AK66" s="89">
        <v>0</v>
      </c>
      <c r="AL66" s="89">
        <v>2</v>
      </c>
      <c r="AM66" s="89">
        <v>0</v>
      </c>
      <c r="AN66" s="89">
        <v>270</v>
      </c>
      <c r="AO66" s="89">
        <v>1</v>
      </c>
      <c r="AP66" s="89">
        <v>5</v>
      </c>
      <c r="AQ66" s="89">
        <v>14</v>
      </c>
      <c r="AR66" s="89">
        <v>9</v>
      </c>
      <c r="AS66" s="89">
        <v>0</v>
      </c>
      <c r="AT66" s="89">
        <v>0</v>
      </c>
      <c r="AU66" s="89"/>
      <c r="AV66" s="100">
        <f>12*12</f>
        <v>144</v>
      </c>
      <c r="AW66" s="89" t="s">
        <v>358</v>
      </c>
      <c r="AX66" s="89" t="s">
        <v>373</v>
      </c>
      <c r="AY66" s="89" t="s">
        <v>359</v>
      </c>
      <c r="AZ66" s="89" t="s">
        <v>359</v>
      </c>
      <c r="BA66" s="89" t="s">
        <v>359</v>
      </c>
      <c r="BB66" s="89" t="s">
        <v>359</v>
      </c>
      <c r="BC66" s="89" t="s">
        <v>359</v>
      </c>
      <c r="BD66" s="89" t="s">
        <v>359</v>
      </c>
      <c r="BE66" s="89" t="s">
        <v>359</v>
      </c>
      <c r="BF66" s="89" t="s">
        <v>359</v>
      </c>
      <c r="BG66" s="89" t="s">
        <v>359</v>
      </c>
      <c r="BH66" s="89" t="s">
        <v>727</v>
      </c>
      <c r="BI66" s="89"/>
      <c r="BJ66" s="89"/>
      <c r="BK66" s="74">
        <v>45352.428506944438</v>
      </c>
      <c r="BL66" s="74">
        <v>45344.615879629629</v>
      </c>
      <c r="BM66" s="89" t="s">
        <v>728</v>
      </c>
      <c r="BN66" s="89" t="b">
        <v>0</v>
      </c>
      <c r="BO66" s="89"/>
    </row>
    <row r="67" spans="1:67">
      <c r="A67">
        <v>100239</v>
      </c>
      <c r="B67" t="s">
        <v>105</v>
      </c>
      <c r="C67" t="s">
        <v>95</v>
      </c>
      <c r="D67" t="s">
        <v>2133</v>
      </c>
      <c r="E67" t="s">
        <v>723</v>
      </c>
      <c r="F67" t="s">
        <v>724</v>
      </c>
      <c r="G67" t="s">
        <v>724</v>
      </c>
      <c r="H67" t="s">
        <v>723</v>
      </c>
      <c r="I67" t="s">
        <v>725</v>
      </c>
      <c r="J67" t="s">
        <v>725</v>
      </c>
      <c r="K67" t="s">
        <v>370</v>
      </c>
      <c r="L67">
        <v>125</v>
      </c>
      <c r="M67" t="s">
        <v>353</v>
      </c>
      <c r="N67" t="s">
        <v>419</v>
      </c>
      <c r="O67">
        <v>125</v>
      </c>
      <c r="P67" t="s">
        <v>353</v>
      </c>
      <c r="Q67" t="s">
        <v>630</v>
      </c>
      <c r="R67" t="s">
        <v>462</v>
      </c>
      <c r="U67"/>
      <c r="V67"/>
      <c r="W67"/>
      <c r="AB67"/>
      <c r="AC67"/>
      <c r="AF67">
        <v>4</v>
      </c>
      <c r="AG67">
        <v>21</v>
      </c>
      <c r="AH67">
        <v>0</v>
      </c>
      <c r="AI67">
        <v>84</v>
      </c>
      <c r="AJ67">
        <v>0</v>
      </c>
      <c r="AK67">
        <v>0</v>
      </c>
      <c r="AL67">
        <v>2</v>
      </c>
      <c r="AM67">
        <v>0</v>
      </c>
      <c r="AN67">
        <v>160</v>
      </c>
      <c r="AO67">
        <v>0</v>
      </c>
      <c r="AP67">
        <v>0</v>
      </c>
      <c r="AQ67">
        <v>16</v>
      </c>
      <c r="AR67">
        <v>8</v>
      </c>
      <c r="AS67">
        <v>0</v>
      </c>
      <c r="AT67">
        <v>0</v>
      </c>
      <c r="AV67">
        <v>72</v>
      </c>
      <c r="AW67" t="s">
        <v>358</v>
      </c>
      <c r="AX67" t="b">
        <v>1</v>
      </c>
      <c r="AY67" t="s">
        <v>359</v>
      </c>
      <c r="AZ67" t="s">
        <v>359</v>
      </c>
      <c r="BA67" t="s">
        <v>359</v>
      </c>
      <c r="BB67" t="s">
        <v>359</v>
      </c>
      <c r="BC67" t="s">
        <v>359</v>
      </c>
      <c r="BD67" t="s">
        <v>359</v>
      </c>
      <c r="BE67" t="s">
        <v>359</v>
      </c>
      <c r="BF67" t="s">
        <v>359</v>
      </c>
      <c r="BG67" t="s">
        <v>359</v>
      </c>
      <c r="BH67" t="s">
        <v>727</v>
      </c>
      <c r="BK67" t="s">
        <v>2105</v>
      </c>
      <c r="BL67" t="s">
        <v>2134</v>
      </c>
      <c r="BM67" t="s">
        <v>728</v>
      </c>
      <c r="BN67" t="b">
        <v>1</v>
      </c>
      <c r="BO67" s="89"/>
    </row>
    <row r="68" spans="1:67">
      <c r="A68" s="100">
        <v>100241</v>
      </c>
      <c r="B68" s="89" t="s">
        <v>108</v>
      </c>
      <c r="C68" s="89" t="s">
        <v>95</v>
      </c>
      <c r="D68" s="89" t="s">
        <v>730</v>
      </c>
      <c r="E68" s="89" t="s">
        <v>731</v>
      </c>
      <c r="F68" s="89" t="s">
        <v>732</v>
      </c>
      <c r="G68" s="89" t="s">
        <v>733</v>
      </c>
      <c r="H68" s="89" t="s">
        <v>734</v>
      </c>
      <c r="I68" s="89" t="s">
        <v>735</v>
      </c>
      <c r="J68" s="89" t="s">
        <v>736</v>
      </c>
      <c r="K68" s="89"/>
      <c r="L68" s="89">
        <v>125</v>
      </c>
      <c r="M68" s="89" t="s">
        <v>353</v>
      </c>
      <c r="N68" s="89" t="s">
        <v>354</v>
      </c>
      <c r="O68" s="89">
        <v>125</v>
      </c>
      <c r="P68" s="89" t="s">
        <v>353</v>
      </c>
      <c r="Q68" s="89" t="s">
        <v>737</v>
      </c>
      <c r="R68" s="89" t="s">
        <v>356</v>
      </c>
      <c r="S68" s="89"/>
      <c r="T68" s="89"/>
      <c r="U68" s="89"/>
      <c r="V68" s="89"/>
      <c r="W68" s="89"/>
      <c r="X68" s="89"/>
      <c r="Y68" s="89"/>
      <c r="Z68" s="89"/>
      <c r="AA68" s="89"/>
      <c r="AB68" s="89"/>
      <c r="AC68" s="89"/>
      <c r="AD68" s="89"/>
      <c r="AE68" s="89"/>
      <c r="AF68" s="89">
        <v>0</v>
      </c>
      <c r="AG68" s="89">
        <v>21</v>
      </c>
      <c r="AH68" s="89">
        <v>0</v>
      </c>
      <c r="AI68" s="89">
        <v>90</v>
      </c>
      <c r="AJ68" s="89">
        <v>0</v>
      </c>
      <c r="AK68" s="89">
        <v>0</v>
      </c>
      <c r="AL68" s="89">
        <v>2</v>
      </c>
      <c r="AM68" s="89">
        <v>0</v>
      </c>
      <c r="AN68" s="89">
        <v>220</v>
      </c>
      <c r="AO68" s="89">
        <v>1</v>
      </c>
      <c r="AP68" s="89">
        <v>0</v>
      </c>
      <c r="AQ68" s="89">
        <v>19</v>
      </c>
      <c r="AR68" s="89">
        <v>10</v>
      </c>
      <c r="AS68" s="89">
        <v>0</v>
      </c>
      <c r="AT68" s="89">
        <v>0</v>
      </c>
      <c r="AU68" s="89" t="s">
        <v>510</v>
      </c>
      <c r="AV68" s="100">
        <v>96</v>
      </c>
      <c r="AW68" s="89" t="s">
        <v>372</v>
      </c>
      <c r="AX68" s="89"/>
      <c r="AY68" s="89" t="s">
        <v>359</v>
      </c>
      <c r="AZ68" s="89" t="s">
        <v>359</v>
      </c>
      <c r="BA68" s="89" t="s">
        <v>359</v>
      </c>
      <c r="BB68" s="89" t="s">
        <v>359</v>
      </c>
      <c r="BC68" s="89" t="s">
        <v>359</v>
      </c>
      <c r="BD68" s="89" t="s">
        <v>359</v>
      </c>
      <c r="BE68" s="89" t="s">
        <v>359</v>
      </c>
      <c r="BF68" s="89" t="s">
        <v>359</v>
      </c>
      <c r="BG68" s="89" t="s">
        <v>359</v>
      </c>
      <c r="BH68" s="89" t="s">
        <v>547</v>
      </c>
      <c r="BI68" s="89"/>
      <c r="BJ68" s="89"/>
      <c r="BK68" s="74">
        <v>45078.386493055557</v>
      </c>
      <c r="BL68" s="74">
        <v>45049.466921296298</v>
      </c>
      <c r="BM68" s="89" t="s">
        <v>738</v>
      </c>
      <c r="BN68" s="89" t="b">
        <v>0</v>
      </c>
      <c r="BO68" s="89"/>
    </row>
    <row r="69" spans="1:67">
      <c r="A69" s="100">
        <v>100241</v>
      </c>
      <c r="B69" s="89" t="s">
        <v>108</v>
      </c>
      <c r="C69" s="89" t="s">
        <v>95</v>
      </c>
      <c r="D69" s="89" t="s">
        <v>739</v>
      </c>
      <c r="E69" s="89" t="s">
        <v>740</v>
      </c>
      <c r="F69" s="89" t="s">
        <v>724</v>
      </c>
      <c r="G69" s="89" t="s">
        <v>724</v>
      </c>
      <c r="H69" s="89" t="s">
        <v>741</v>
      </c>
      <c r="I69" s="89" t="s">
        <v>742</v>
      </c>
      <c r="J69" s="89" t="s">
        <v>741</v>
      </c>
      <c r="K69" s="89" t="s">
        <v>370</v>
      </c>
      <c r="L69" s="89">
        <v>124.74</v>
      </c>
      <c r="M69" s="89" t="s">
        <v>353</v>
      </c>
      <c r="N69" s="89" t="s">
        <v>354</v>
      </c>
      <c r="O69" s="89">
        <v>124.74</v>
      </c>
      <c r="P69" s="89" t="s">
        <v>353</v>
      </c>
      <c r="Q69" s="89" t="s">
        <v>737</v>
      </c>
      <c r="R69" s="89" t="s">
        <v>462</v>
      </c>
      <c r="S69" s="89"/>
      <c r="T69" s="89"/>
      <c r="U69" s="93"/>
      <c r="V69" s="93"/>
      <c r="W69" s="93"/>
      <c r="X69" s="89"/>
      <c r="Y69" s="89"/>
      <c r="Z69" s="89"/>
      <c r="AA69" s="89"/>
      <c r="AB69" s="93"/>
      <c r="AC69" s="93"/>
      <c r="AD69" s="89"/>
      <c r="AE69" s="89"/>
      <c r="AF69" s="89">
        <v>4</v>
      </c>
      <c r="AG69" s="89">
        <v>20</v>
      </c>
      <c r="AH69" s="89">
        <v>0</v>
      </c>
      <c r="AI69" s="89">
        <v>80</v>
      </c>
      <c r="AJ69" s="89">
        <v>0</v>
      </c>
      <c r="AK69" s="89">
        <v>0</v>
      </c>
      <c r="AL69" s="89">
        <v>2</v>
      </c>
      <c r="AM69" s="89">
        <v>0</v>
      </c>
      <c r="AN69" s="89">
        <v>160</v>
      </c>
      <c r="AO69" s="89">
        <v>1</v>
      </c>
      <c r="AP69" s="89">
        <v>15</v>
      </c>
      <c r="AQ69" s="89">
        <v>16</v>
      </c>
      <c r="AR69" s="89">
        <v>8</v>
      </c>
      <c r="AS69" s="89">
        <v>0</v>
      </c>
      <c r="AT69" s="89">
        <v>0</v>
      </c>
      <c r="AU69" s="89" t="s">
        <v>502</v>
      </c>
      <c r="AV69" s="89" t="s">
        <v>743</v>
      </c>
      <c r="AW69" s="89" t="s">
        <v>358</v>
      </c>
      <c r="AX69" s="89" t="s">
        <v>373</v>
      </c>
      <c r="AY69" s="89" t="s">
        <v>359</v>
      </c>
      <c r="AZ69" s="89" t="s">
        <v>359</v>
      </c>
      <c r="BA69" s="89" t="s">
        <v>359</v>
      </c>
      <c r="BB69" s="89" t="s">
        <v>359</v>
      </c>
      <c r="BC69" s="89" t="s">
        <v>359</v>
      </c>
      <c r="BD69" s="89" t="s">
        <v>359</v>
      </c>
      <c r="BE69" s="89" t="s">
        <v>359</v>
      </c>
      <c r="BF69" s="89" t="s">
        <v>359</v>
      </c>
      <c r="BG69" s="89" t="s">
        <v>359</v>
      </c>
      <c r="BH69" s="89" t="s">
        <v>727</v>
      </c>
      <c r="BI69" s="89"/>
      <c r="BJ69" s="89"/>
      <c r="BK69" s="74">
        <v>45019.685752314806</v>
      </c>
      <c r="BL69" s="74">
        <v>45007.331678240742</v>
      </c>
      <c r="BM69" s="89" t="s">
        <v>744</v>
      </c>
      <c r="BN69" s="89" t="b">
        <v>0</v>
      </c>
      <c r="BO69" s="83"/>
    </row>
    <row r="70" spans="1:67">
      <c r="A70" s="85">
        <v>100241</v>
      </c>
      <c r="B70" s="83" t="s">
        <v>108</v>
      </c>
      <c r="C70" s="83" t="s">
        <v>95</v>
      </c>
      <c r="D70" s="83" t="s">
        <v>745</v>
      </c>
      <c r="E70" s="83" t="s">
        <v>746</v>
      </c>
      <c r="F70" s="83" t="s">
        <v>746</v>
      </c>
      <c r="G70" s="83" t="s">
        <v>746</v>
      </c>
      <c r="H70" s="83" t="s">
        <v>747</v>
      </c>
      <c r="I70" s="83" t="s">
        <v>748</v>
      </c>
      <c r="J70" s="83" t="s">
        <v>749</v>
      </c>
      <c r="K70" s="83" t="s">
        <v>370</v>
      </c>
      <c r="L70" s="83">
        <v>125</v>
      </c>
      <c r="M70" s="83" t="s">
        <v>353</v>
      </c>
      <c r="N70" s="83" t="s">
        <v>354</v>
      </c>
      <c r="O70" s="83"/>
      <c r="P70" s="83"/>
      <c r="Q70" s="83" t="s">
        <v>737</v>
      </c>
      <c r="R70" s="83" t="s">
        <v>462</v>
      </c>
      <c r="S70" s="83"/>
      <c r="T70" s="83"/>
      <c r="U70" s="84"/>
      <c r="V70" s="84"/>
      <c r="W70" s="84"/>
      <c r="X70" s="83"/>
      <c r="Y70" s="83"/>
      <c r="Z70" s="83"/>
      <c r="AA70" s="83"/>
      <c r="AB70" s="84"/>
      <c r="AC70" s="84"/>
      <c r="AD70" s="83"/>
      <c r="AE70" s="83"/>
      <c r="AF70" s="83">
        <v>7</v>
      </c>
      <c r="AG70" s="83">
        <v>21</v>
      </c>
      <c r="AH70" s="83">
        <v>0</v>
      </c>
      <c r="AI70" s="83">
        <v>80</v>
      </c>
      <c r="AJ70" s="83">
        <v>0</v>
      </c>
      <c r="AK70" s="83">
        <v>0</v>
      </c>
      <c r="AL70" s="83">
        <v>2</v>
      </c>
      <c r="AM70" s="83">
        <v>0</v>
      </c>
      <c r="AN70" s="83">
        <v>216</v>
      </c>
      <c r="AO70" s="83">
        <v>1</v>
      </c>
      <c r="AP70" s="83">
        <v>0</v>
      </c>
      <c r="AQ70" s="83">
        <v>19</v>
      </c>
      <c r="AR70" s="83">
        <v>10</v>
      </c>
      <c r="AS70" s="83">
        <v>0</v>
      </c>
      <c r="AT70" s="83">
        <v>0</v>
      </c>
      <c r="AU70" s="83"/>
      <c r="AV70" s="83" t="s">
        <v>743</v>
      </c>
      <c r="AW70" s="83" t="s">
        <v>358</v>
      </c>
      <c r="AX70" s="83" t="s">
        <v>373</v>
      </c>
      <c r="AY70" s="83" t="s">
        <v>359</v>
      </c>
      <c r="AZ70" s="83" t="s">
        <v>359</v>
      </c>
      <c r="BA70" s="83" t="s">
        <v>359</v>
      </c>
      <c r="BB70" s="83" t="s">
        <v>359</v>
      </c>
      <c r="BC70" s="83" t="s">
        <v>359</v>
      </c>
      <c r="BD70" s="83" t="s">
        <v>359</v>
      </c>
      <c r="BE70" s="83" t="s">
        <v>359</v>
      </c>
      <c r="BF70" s="83" t="s">
        <v>359</v>
      </c>
      <c r="BG70" s="83" t="s">
        <v>359</v>
      </c>
      <c r="BH70" s="83" t="s">
        <v>727</v>
      </c>
      <c r="BI70" s="83"/>
      <c r="BJ70" s="83"/>
      <c r="BK70" t="s">
        <v>2105</v>
      </c>
      <c r="BL70" t="s">
        <v>2136</v>
      </c>
      <c r="BM70" s="83" t="s">
        <v>750</v>
      </c>
      <c r="BN70" s="83" t="b">
        <v>0</v>
      </c>
      <c r="BO70" s="89"/>
    </row>
    <row r="71" spans="1:67">
      <c r="A71" s="73">
        <v>100242</v>
      </c>
      <c r="B71" s="82" t="s">
        <v>110</v>
      </c>
      <c r="C71" s="82" t="s">
        <v>95</v>
      </c>
      <c r="D71" s="82" t="s">
        <v>1877</v>
      </c>
      <c r="E71" s="82" t="s">
        <v>1878</v>
      </c>
      <c r="F71" s="82" t="s">
        <v>1879</v>
      </c>
      <c r="G71" s="82" t="s">
        <v>1880</v>
      </c>
      <c r="H71" s="82" t="s">
        <v>1881</v>
      </c>
      <c r="I71" s="82" t="s">
        <v>1882</v>
      </c>
      <c r="J71" s="82" t="s">
        <v>1883</v>
      </c>
      <c r="K71" s="82" t="s">
        <v>370</v>
      </c>
      <c r="L71" s="82">
        <v>140</v>
      </c>
      <c r="M71" s="82" t="s">
        <v>353</v>
      </c>
      <c r="N71" s="82" t="s">
        <v>354</v>
      </c>
      <c r="O71" s="82">
        <v>140</v>
      </c>
      <c r="P71" s="82" t="s">
        <v>353</v>
      </c>
      <c r="Q71" s="82" t="s">
        <v>726</v>
      </c>
      <c r="R71" s="82" t="s">
        <v>474</v>
      </c>
      <c r="S71" s="82"/>
      <c r="T71" s="82"/>
      <c r="U71" s="82"/>
      <c r="V71" s="82"/>
      <c r="W71" s="82"/>
      <c r="X71" s="82"/>
      <c r="Y71" s="82"/>
      <c r="Z71" s="82"/>
      <c r="AA71" s="82"/>
      <c r="AB71" s="82"/>
      <c r="AC71" s="82"/>
      <c r="AD71" s="82"/>
      <c r="AE71" s="82"/>
      <c r="AF71" s="82">
        <v>25</v>
      </c>
      <c r="AG71" s="82">
        <v>19</v>
      </c>
      <c r="AH71" s="82">
        <v>0</v>
      </c>
      <c r="AI71" s="82">
        <v>80</v>
      </c>
      <c r="AJ71" s="82">
        <v>0</v>
      </c>
      <c r="AK71" s="82">
        <v>0</v>
      </c>
      <c r="AL71" s="82">
        <v>6</v>
      </c>
      <c r="AM71" s="82">
        <v>0.8</v>
      </c>
      <c r="AN71" s="82">
        <v>95</v>
      </c>
      <c r="AO71" s="82">
        <v>0</v>
      </c>
      <c r="AP71" s="82">
        <v>0</v>
      </c>
      <c r="AQ71" s="82">
        <v>10</v>
      </c>
      <c r="AR71" s="82">
        <v>0</v>
      </c>
      <c r="AS71" s="82">
        <v>0</v>
      </c>
      <c r="AT71" s="82">
        <v>0</v>
      </c>
      <c r="AU71" s="82"/>
      <c r="AV71" s="101">
        <f>10*8</f>
        <v>80</v>
      </c>
      <c r="AW71" s="82" t="s">
        <v>372</v>
      </c>
      <c r="AX71" s="107" t="b">
        <v>1</v>
      </c>
      <c r="AY71" s="82" t="s">
        <v>359</v>
      </c>
      <c r="AZ71" s="82" t="s">
        <v>359</v>
      </c>
      <c r="BA71" s="82" t="s">
        <v>359</v>
      </c>
      <c r="BB71" s="82" t="s">
        <v>359</v>
      </c>
      <c r="BC71" s="82" t="s">
        <v>359</v>
      </c>
      <c r="BD71" s="82" t="s">
        <v>359</v>
      </c>
      <c r="BE71" s="82" t="s">
        <v>359</v>
      </c>
      <c r="BF71" s="82" t="s">
        <v>359</v>
      </c>
      <c r="BG71" s="82" t="s">
        <v>359</v>
      </c>
      <c r="BH71" s="82" t="s">
        <v>547</v>
      </c>
      <c r="BI71" s="82" t="s">
        <v>1884</v>
      </c>
      <c r="BJ71" s="82"/>
      <c r="BK71" s="74">
        <v>45413.401724537027</v>
      </c>
      <c r="BL71" s="74">
        <v>45386.586817129632</v>
      </c>
      <c r="BM71" s="82" t="s">
        <v>760</v>
      </c>
      <c r="BN71" s="82" t="b">
        <v>0</v>
      </c>
      <c r="BO71" s="89"/>
    </row>
    <row r="72" spans="1:67">
      <c r="A72" s="73">
        <v>100243</v>
      </c>
      <c r="B72" s="82" t="s">
        <v>110</v>
      </c>
      <c r="C72" s="82" t="s">
        <v>95</v>
      </c>
      <c r="D72" s="82" t="s">
        <v>751</v>
      </c>
      <c r="E72" s="82" t="s">
        <v>752</v>
      </c>
      <c r="F72" s="82" t="s">
        <v>752</v>
      </c>
      <c r="G72" s="82" t="s">
        <v>753</v>
      </c>
      <c r="H72" s="82" t="s">
        <v>754</v>
      </c>
      <c r="I72" s="82" t="s">
        <v>755</v>
      </c>
      <c r="J72" s="82" t="s">
        <v>756</v>
      </c>
      <c r="K72" s="82" t="s">
        <v>370</v>
      </c>
      <c r="L72" s="82">
        <v>70</v>
      </c>
      <c r="M72" s="82" t="s">
        <v>353</v>
      </c>
      <c r="N72" s="82" t="s">
        <v>354</v>
      </c>
      <c r="O72" s="82">
        <v>0.5</v>
      </c>
      <c r="P72" s="82" t="s">
        <v>757</v>
      </c>
      <c r="Q72" s="82" t="s">
        <v>758</v>
      </c>
      <c r="R72" s="82" t="s">
        <v>371</v>
      </c>
      <c r="S72" s="82"/>
      <c r="T72" s="82"/>
      <c r="U72" s="82"/>
      <c r="V72" s="82"/>
      <c r="W72" s="82"/>
      <c r="X72" s="82"/>
      <c r="Y72" s="82"/>
      <c r="Z72" s="82"/>
      <c r="AA72" s="82"/>
      <c r="AB72" s="82"/>
      <c r="AC72" s="82"/>
      <c r="AD72" s="82"/>
      <c r="AE72" s="82"/>
      <c r="AF72" s="82">
        <v>12</v>
      </c>
      <c r="AG72" s="82">
        <v>9</v>
      </c>
      <c r="AH72" s="82">
        <v>0</v>
      </c>
      <c r="AI72" s="82">
        <v>40</v>
      </c>
      <c r="AJ72" s="82">
        <v>0</v>
      </c>
      <c r="AK72" s="82">
        <v>0</v>
      </c>
      <c r="AL72" s="82">
        <v>3</v>
      </c>
      <c r="AM72" s="82">
        <v>1</v>
      </c>
      <c r="AN72" s="82">
        <v>47</v>
      </c>
      <c r="AO72" s="82">
        <v>0</v>
      </c>
      <c r="AP72" s="82">
        <v>0</v>
      </c>
      <c r="AQ72" s="82">
        <v>5</v>
      </c>
      <c r="AR72" s="82">
        <v>0</v>
      </c>
      <c r="AS72" s="82">
        <v>0</v>
      </c>
      <c r="AT72" s="82">
        <v>0</v>
      </c>
      <c r="AU72" s="82"/>
      <c r="AV72" s="82">
        <v>190</v>
      </c>
      <c r="AW72" s="82" t="s">
        <v>358</v>
      </c>
      <c r="AX72" s="82" t="b">
        <v>0</v>
      </c>
      <c r="AY72" s="82" t="s">
        <v>476</v>
      </c>
      <c r="AZ72" s="82" t="s">
        <v>476</v>
      </c>
      <c r="BA72" s="82" t="s">
        <v>476</v>
      </c>
      <c r="BB72" s="82" t="s">
        <v>476</v>
      </c>
      <c r="BC72" s="82" t="s">
        <v>476</v>
      </c>
      <c r="BD72" s="82" t="s">
        <v>476</v>
      </c>
      <c r="BE72" s="82" t="s">
        <v>476</v>
      </c>
      <c r="BF72" s="82" t="s">
        <v>476</v>
      </c>
      <c r="BG72" s="82" t="s">
        <v>476</v>
      </c>
      <c r="BH72" s="82" t="s">
        <v>581</v>
      </c>
      <c r="BI72" s="82" t="s">
        <v>759</v>
      </c>
      <c r="BJ72" s="82"/>
      <c r="BK72" s="74">
        <v>45293.4528587963</v>
      </c>
      <c r="BL72" s="74">
        <v>45267.412557870368</v>
      </c>
      <c r="BM72" s="82" t="s">
        <v>760</v>
      </c>
      <c r="BN72" s="82" t="b">
        <v>0</v>
      </c>
      <c r="BO72" s="89"/>
    </row>
    <row r="73" spans="1:67">
      <c r="A73" s="100">
        <v>100254</v>
      </c>
      <c r="B73" s="89" t="s">
        <v>112</v>
      </c>
      <c r="C73" s="89" t="s">
        <v>95</v>
      </c>
      <c r="D73" s="89" t="s">
        <v>761</v>
      </c>
      <c r="E73" t="s">
        <v>2117</v>
      </c>
      <c r="F73" t="s">
        <v>1916</v>
      </c>
      <c r="G73" s="89" t="s">
        <v>762</v>
      </c>
      <c r="H73" s="89" t="s">
        <v>95</v>
      </c>
      <c r="I73" s="89" t="s">
        <v>763</v>
      </c>
      <c r="J73" s="89" t="s">
        <v>95</v>
      </c>
      <c r="K73" s="89"/>
      <c r="L73" s="104">
        <v>70</v>
      </c>
      <c r="M73" s="89" t="s">
        <v>353</v>
      </c>
      <c r="N73" s="89" t="s">
        <v>354</v>
      </c>
      <c r="O73" s="104">
        <v>70</v>
      </c>
      <c r="P73" s="89" t="s">
        <v>353</v>
      </c>
      <c r="Q73" s="89" t="s">
        <v>764</v>
      </c>
      <c r="R73" s="89" t="s">
        <v>462</v>
      </c>
      <c r="S73" s="89"/>
      <c r="T73" s="89"/>
      <c r="U73" s="93"/>
      <c r="V73" s="93"/>
      <c r="W73" s="93"/>
      <c r="X73" s="89"/>
      <c r="Y73" s="89"/>
      <c r="Z73" s="89"/>
      <c r="AA73" s="89"/>
      <c r="AB73" s="93"/>
      <c r="AC73" s="93"/>
      <c r="AD73" s="89"/>
      <c r="AE73" s="89"/>
      <c r="AF73" s="89">
        <v>10</v>
      </c>
      <c r="AG73" s="89">
        <v>11</v>
      </c>
      <c r="AH73" s="89">
        <v>0</v>
      </c>
      <c r="AI73" s="89">
        <v>45</v>
      </c>
      <c r="AJ73" s="89">
        <v>0</v>
      </c>
      <c r="AK73" s="89">
        <v>0</v>
      </c>
      <c r="AL73" s="89">
        <v>1</v>
      </c>
      <c r="AM73" s="89">
        <v>0.4</v>
      </c>
      <c r="AN73" s="89">
        <v>95</v>
      </c>
      <c r="AO73" s="89">
        <v>1</v>
      </c>
      <c r="AP73" s="89">
        <v>1.3</v>
      </c>
      <c r="AQ73" s="89">
        <v>9</v>
      </c>
      <c r="AR73" s="89">
        <v>6</v>
      </c>
      <c r="AS73" s="89">
        <v>0</v>
      </c>
      <c r="AT73" s="89">
        <v>0</v>
      </c>
      <c r="AU73" s="89"/>
      <c r="AV73" s="104" t="s">
        <v>765</v>
      </c>
      <c r="AW73" s="89" t="s">
        <v>372</v>
      </c>
      <c r="AX73" s="106" t="s">
        <v>373</v>
      </c>
      <c r="AY73" s="89" t="s">
        <v>359</v>
      </c>
      <c r="AZ73" s="89" t="s">
        <v>359</v>
      </c>
      <c r="BA73" s="89" t="s">
        <v>359</v>
      </c>
      <c r="BB73" s="89" t="s">
        <v>359</v>
      </c>
      <c r="BC73" s="89" t="s">
        <v>359</v>
      </c>
      <c r="BD73" s="89" t="s">
        <v>359</v>
      </c>
      <c r="BE73" s="89" t="s">
        <v>359</v>
      </c>
      <c r="BF73" s="89" t="s">
        <v>359</v>
      </c>
      <c r="BG73" s="89" t="s">
        <v>359</v>
      </c>
      <c r="BH73" s="89" t="s">
        <v>766</v>
      </c>
      <c r="BI73" s="89"/>
      <c r="BJ73" s="89"/>
      <c r="BK73" t="s">
        <v>2105</v>
      </c>
      <c r="BL73" t="s">
        <v>2118</v>
      </c>
      <c r="BM73" s="89" t="s">
        <v>767</v>
      </c>
      <c r="BN73" s="89" t="b">
        <v>0</v>
      </c>
      <c r="BO73" s="89"/>
    </row>
    <row r="74" spans="1:67">
      <c r="A74" s="73">
        <v>100256</v>
      </c>
      <c r="B74" s="82" t="s">
        <v>114</v>
      </c>
      <c r="C74" s="82" t="s">
        <v>95</v>
      </c>
      <c r="D74" s="89" t="s">
        <v>768</v>
      </c>
      <c r="E74" t="s">
        <v>1915</v>
      </c>
      <c r="F74" t="s">
        <v>1916</v>
      </c>
      <c r="G74" s="89" t="s">
        <v>762</v>
      </c>
      <c r="H74" s="82" t="s">
        <v>95</v>
      </c>
      <c r="I74" s="82" t="s">
        <v>769</v>
      </c>
      <c r="J74" s="82" t="s">
        <v>95</v>
      </c>
      <c r="K74" s="82"/>
      <c r="L74" s="82">
        <v>128</v>
      </c>
      <c r="M74" s="82" t="s">
        <v>353</v>
      </c>
      <c r="N74" s="82" t="s">
        <v>354</v>
      </c>
      <c r="O74" s="82">
        <v>128</v>
      </c>
      <c r="P74" s="82" t="s">
        <v>353</v>
      </c>
      <c r="Q74" s="89" t="s">
        <v>770</v>
      </c>
      <c r="R74" s="82" t="s">
        <v>462</v>
      </c>
      <c r="S74" s="82"/>
      <c r="T74" s="82"/>
      <c r="U74" s="82"/>
      <c r="V74" s="82"/>
      <c r="W74" s="82"/>
      <c r="X74" s="82"/>
      <c r="Y74" s="82"/>
      <c r="Z74" s="82"/>
      <c r="AA74" s="82"/>
      <c r="AB74" s="82"/>
      <c r="AC74" s="82"/>
      <c r="AD74" s="82"/>
      <c r="AE74" s="82"/>
      <c r="AF74" s="82">
        <v>20</v>
      </c>
      <c r="AG74" s="82">
        <v>19</v>
      </c>
      <c r="AH74" s="82">
        <v>0</v>
      </c>
      <c r="AI74" s="82">
        <v>80</v>
      </c>
      <c r="AJ74" s="82">
        <v>0</v>
      </c>
      <c r="AK74" s="82">
        <v>0</v>
      </c>
      <c r="AL74" s="82">
        <v>2</v>
      </c>
      <c r="AM74" s="82">
        <v>0.4</v>
      </c>
      <c r="AN74" s="82">
        <v>180</v>
      </c>
      <c r="AO74" s="82">
        <v>1</v>
      </c>
      <c r="AP74" s="82">
        <v>0</v>
      </c>
      <c r="AQ74" s="82">
        <v>16</v>
      </c>
      <c r="AR74" s="82">
        <v>10</v>
      </c>
      <c r="AS74" s="82">
        <v>0</v>
      </c>
      <c r="AT74" s="82">
        <v>0</v>
      </c>
      <c r="AU74" s="82"/>
      <c r="AV74" s="82">
        <v>96</v>
      </c>
      <c r="AW74" s="82" t="s">
        <v>372</v>
      </c>
      <c r="AX74" s="82"/>
      <c r="AY74" s="82" t="s">
        <v>359</v>
      </c>
      <c r="AZ74" s="82" t="s">
        <v>359</v>
      </c>
      <c r="BA74" s="82" t="s">
        <v>359</v>
      </c>
      <c r="BB74" s="82" t="s">
        <v>359</v>
      </c>
      <c r="BC74" s="82" t="s">
        <v>359</v>
      </c>
      <c r="BD74" s="82" t="s">
        <v>359</v>
      </c>
      <c r="BE74" s="82" t="s">
        <v>359</v>
      </c>
      <c r="BF74" s="82" t="s">
        <v>359</v>
      </c>
      <c r="BG74" s="82" t="s">
        <v>359</v>
      </c>
      <c r="BH74" s="82" t="s">
        <v>766</v>
      </c>
      <c r="BI74" s="82"/>
      <c r="BJ74" s="82"/>
      <c r="BK74" t="s">
        <v>2105</v>
      </c>
      <c r="BL74" t="s">
        <v>2119</v>
      </c>
      <c r="BM74" s="82" t="s">
        <v>767</v>
      </c>
      <c r="BN74" s="82" t="b">
        <v>0</v>
      </c>
      <c r="BO74" s="89"/>
    </row>
    <row r="75" spans="1:67">
      <c r="A75" s="100">
        <v>100256</v>
      </c>
      <c r="B75" s="89" t="s">
        <v>114</v>
      </c>
      <c r="C75" s="89" t="s">
        <v>95</v>
      </c>
      <c r="D75" s="89" t="s">
        <v>771</v>
      </c>
      <c r="E75" s="89" t="s">
        <v>772</v>
      </c>
      <c r="F75" s="89" t="s">
        <v>724</v>
      </c>
      <c r="G75" s="89" t="s">
        <v>724</v>
      </c>
      <c r="H75" s="89" t="s">
        <v>773</v>
      </c>
      <c r="I75" s="89" t="s">
        <v>773</v>
      </c>
      <c r="J75" s="89" t="s">
        <v>773</v>
      </c>
      <c r="K75" s="89" t="s">
        <v>370</v>
      </c>
      <c r="L75" s="89">
        <v>128</v>
      </c>
      <c r="M75" s="89" t="s">
        <v>353</v>
      </c>
      <c r="N75" s="89" t="s">
        <v>354</v>
      </c>
      <c r="O75" s="89">
        <v>128</v>
      </c>
      <c r="P75" s="89" t="s">
        <v>353</v>
      </c>
      <c r="Q75" s="89" t="s">
        <v>770</v>
      </c>
      <c r="R75" s="89" t="s">
        <v>462</v>
      </c>
      <c r="S75" s="89"/>
      <c r="T75" s="89"/>
      <c r="U75" s="93"/>
      <c r="V75" s="93"/>
      <c r="W75" s="93"/>
      <c r="X75" s="89"/>
      <c r="Y75" s="89"/>
      <c r="Z75" s="89"/>
      <c r="AA75" s="89"/>
      <c r="AB75" s="93"/>
      <c r="AC75" s="93"/>
      <c r="AD75" s="89"/>
      <c r="AE75" s="89"/>
      <c r="AF75" s="89">
        <v>19</v>
      </c>
      <c r="AG75" s="89">
        <v>19</v>
      </c>
      <c r="AH75" s="89">
        <v>0</v>
      </c>
      <c r="AI75" s="89">
        <v>80</v>
      </c>
      <c r="AJ75" s="89">
        <v>0</v>
      </c>
      <c r="AK75" s="89">
        <v>0</v>
      </c>
      <c r="AL75" s="89">
        <v>2</v>
      </c>
      <c r="AM75" s="89">
        <v>0</v>
      </c>
      <c r="AN75" s="89">
        <v>180</v>
      </c>
      <c r="AO75" s="89">
        <v>0</v>
      </c>
      <c r="AP75" s="89">
        <v>0</v>
      </c>
      <c r="AQ75" s="89">
        <v>16</v>
      </c>
      <c r="AR75" s="89">
        <v>10</v>
      </c>
      <c r="AS75" s="89">
        <v>0</v>
      </c>
      <c r="AT75" s="89">
        <v>0</v>
      </c>
      <c r="AU75" s="89" t="s">
        <v>502</v>
      </c>
      <c r="AV75" s="89" t="s">
        <v>743</v>
      </c>
      <c r="AW75" s="89" t="s">
        <v>358</v>
      </c>
      <c r="AX75" s="89" t="s">
        <v>373</v>
      </c>
      <c r="AY75" s="89" t="s">
        <v>359</v>
      </c>
      <c r="AZ75" s="89" t="s">
        <v>359</v>
      </c>
      <c r="BA75" s="89" t="s">
        <v>359</v>
      </c>
      <c r="BB75" s="89" t="s">
        <v>359</v>
      </c>
      <c r="BC75" s="89" t="s">
        <v>359</v>
      </c>
      <c r="BD75" s="89" t="s">
        <v>359</v>
      </c>
      <c r="BE75" s="89" t="s">
        <v>359</v>
      </c>
      <c r="BF75" s="89" t="s">
        <v>359</v>
      </c>
      <c r="BG75" s="89" t="s">
        <v>359</v>
      </c>
      <c r="BH75" s="89" t="s">
        <v>727</v>
      </c>
      <c r="BI75" s="89"/>
      <c r="BJ75" s="89"/>
      <c r="BK75" s="74">
        <v>45019.672766203701</v>
      </c>
      <c r="BL75" s="74">
        <v>45007.32298611111</v>
      </c>
      <c r="BM75" s="89" t="s">
        <v>767</v>
      </c>
      <c r="BN75" s="89" t="b">
        <v>0</v>
      </c>
      <c r="BO75" s="89"/>
    </row>
    <row r="76" spans="1:67">
      <c r="A76" s="85">
        <v>100256</v>
      </c>
      <c r="B76" s="83" t="s">
        <v>114</v>
      </c>
      <c r="C76" s="83" t="s">
        <v>95</v>
      </c>
      <c r="D76" s="83" t="s">
        <v>774</v>
      </c>
      <c r="E76" s="83" t="s">
        <v>746</v>
      </c>
      <c r="F76" s="83" t="s">
        <v>746</v>
      </c>
      <c r="G76" s="83" t="s">
        <v>746</v>
      </c>
      <c r="H76" s="83" t="s">
        <v>775</v>
      </c>
      <c r="I76" s="83" t="s">
        <v>776</v>
      </c>
      <c r="J76" s="83" t="s">
        <v>749</v>
      </c>
      <c r="K76" s="83" t="s">
        <v>370</v>
      </c>
      <c r="L76" s="83">
        <v>128</v>
      </c>
      <c r="M76" s="83" t="s">
        <v>353</v>
      </c>
      <c r="N76" s="83" t="s">
        <v>354</v>
      </c>
      <c r="O76" s="83"/>
      <c r="P76" s="83"/>
      <c r="Q76" s="83" t="s">
        <v>770</v>
      </c>
      <c r="R76" s="83" t="s">
        <v>462</v>
      </c>
      <c r="S76" s="83"/>
      <c r="T76" s="83"/>
      <c r="U76" s="84"/>
      <c r="V76" s="84"/>
      <c r="W76" s="84"/>
      <c r="X76" s="83"/>
      <c r="Y76" s="83"/>
      <c r="Z76" s="83"/>
      <c r="AA76" s="83"/>
      <c r="AB76" s="84"/>
      <c r="AC76" s="84"/>
      <c r="AD76" s="83"/>
      <c r="AE76" s="83"/>
      <c r="AF76" s="83">
        <v>19</v>
      </c>
      <c r="AG76" s="83">
        <v>19</v>
      </c>
      <c r="AH76" s="83">
        <v>0</v>
      </c>
      <c r="AI76" s="83">
        <v>80</v>
      </c>
      <c r="AJ76" s="83">
        <v>0</v>
      </c>
      <c r="AK76" s="83">
        <v>0</v>
      </c>
      <c r="AL76" s="83">
        <v>2</v>
      </c>
      <c r="AM76" s="83">
        <v>0</v>
      </c>
      <c r="AN76" s="83">
        <v>180</v>
      </c>
      <c r="AO76" s="83">
        <v>1</v>
      </c>
      <c r="AP76" s="83">
        <v>0</v>
      </c>
      <c r="AQ76" s="83">
        <v>16</v>
      </c>
      <c r="AR76" s="83">
        <v>10</v>
      </c>
      <c r="AS76" s="83">
        <v>0</v>
      </c>
      <c r="AT76" s="83">
        <v>0</v>
      </c>
      <c r="AU76" s="83"/>
      <c r="AV76" s="83" t="s">
        <v>743</v>
      </c>
      <c r="AW76" s="83" t="s">
        <v>358</v>
      </c>
      <c r="AX76" s="83" t="s">
        <v>373</v>
      </c>
      <c r="AY76" s="83" t="s">
        <v>359</v>
      </c>
      <c r="AZ76" s="83" t="s">
        <v>359</v>
      </c>
      <c r="BA76" s="83" t="s">
        <v>359</v>
      </c>
      <c r="BB76" s="83" t="s">
        <v>359</v>
      </c>
      <c r="BC76" s="83" t="s">
        <v>359</v>
      </c>
      <c r="BD76" s="83" t="s">
        <v>359</v>
      </c>
      <c r="BE76" s="83" t="s">
        <v>359</v>
      </c>
      <c r="BF76" s="83" t="s">
        <v>359</v>
      </c>
      <c r="BG76" s="83" t="s">
        <v>359</v>
      </c>
      <c r="BH76" s="83" t="s">
        <v>727</v>
      </c>
      <c r="BI76" s="83"/>
      <c r="BJ76" s="83"/>
      <c r="BK76" s="88">
        <v>44823.241238425922</v>
      </c>
      <c r="BL76" s="88">
        <v>44699.778796296298</v>
      </c>
      <c r="BM76" s="83" t="s">
        <v>767</v>
      </c>
      <c r="BN76" s="83" t="b">
        <v>0</v>
      </c>
      <c r="BO76" s="89"/>
    </row>
    <row r="77" spans="1:67">
      <c r="A77" s="73">
        <v>100261</v>
      </c>
      <c r="B77" s="82" t="s">
        <v>117</v>
      </c>
      <c r="C77" s="82" t="s">
        <v>95</v>
      </c>
      <c r="D77" s="82" t="s">
        <v>1885</v>
      </c>
      <c r="E77" s="83" t="s">
        <v>731</v>
      </c>
      <c r="F77" s="89" t="s">
        <v>732</v>
      </c>
      <c r="G77" s="82" t="s">
        <v>733</v>
      </c>
      <c r="H77" s="82" t="s">
        <v>1886</v>
      </c>
      <c r="I77" s="82" t="s">
        <v>1886</v>
      </c>
      <c r="J77" s="82" t="s">
        <v>1887</v>
      </c>
      <c r="K77" s="82" t="s">
        <v>370</v>
      </c>
      <c r="L77" s="82">
        <v>128</v>
      </c>
      <c r="M77" s="82" t="s">
        <v>353</v>
      </c>
      <c r="N77" s="82" t="s">
        <v>354</v>
      </c>
      <c r="O77" s="82">
        <v>128</v>
      </c>
      <c r="P77" s="82" t="s">
        <v>353</v>
      </c>
      <c r="Q77" s="89" t="s">
        <v>770</v>
      </c>
      <c r="R77" s="82" t="s">
        <v>356</v>
      </c>
      <c r="S77" s="82"/>
      <c r="T77" s="82"/>
      <c r="U77" s="82"/>
      <c r="V77" s="82"/>
      <c r="W77" s="82"/>
      <c r="X77" s="82"/>
      <c r="Y77" s="82"/>
      <c r="Z77" s="82"/>
      <c r="AA77" s="82"/>
      <c r="AB77" s="82"/>
      <c r="AC77" s="82"/>
      <c r="AD77" s="82"/>
      <c r="AE77" s="82"/>
      <c r="AF77" s="82">
        <v>0</v>
      </c>
      <c r="AG77" s="82">
        <v>25</v>
      </c>
      <c r="AH77" s="82">
        <v>0</v>
      </c>
      <c r="AI77" s="82">
        <v>110</v>
      </c>
      <c r="AJ77" s="82">
        <v>0</v>
      </c>
      <c r="AK77" s="82">
        <v>0</v>
      </c>
      <c r="AL77" s="82">
        <v>2</v>
      </c>
      <c r="AM77" s="82">
        <v>0.4</v>
      </c>
      <c r="AN77" s="82">
        <v>280</v>
      </c>
      <c r="AO77" s="82">
        <v>1</v>
      </c>
      <c r="AP77" s="82">
        <v>0</v>
      </c>
      <c r="AQ77" s="82">
        <v>23</v>
      </c>
      <c r="AR77" s="82">
        <v>13</v>
      </c>
      <c r="AS77" s="82">
        <v>0</v>
      </c>
      <c r="AT77" s="82">
        <v>0</v>
      </c>
      <c r="AU77" s="82"/>
      <c r="AV77" s="98">
        <v>96</v>
      </c>
      <c r="AW77" s="82" t="s">
        <v>358</v>
      </c>
      <c r="AX77" s="107"/>
      <c r="AY77" s="82" t="s">
        <v>359</v>
      </c>
      <c r="AZ77" s="82" t="s">
        <v>359</v>
      </c>
      <c r="BA77" s="82" t="s">
        <v>359</v>
      </c>
      <c r="BB77" s="82" t="s">
        <v>359</v>
      </c>
      <c r="BC77" s="82" t="s">
        <v>359</v>
      </c>
      <c r="BD77" s="82" t="s">
        <v>359</v>
      </c>
      <c r="BE77" s="82" t="s">
        <v>359</v>
      </c>
      <c r="BF77" s="82" t="s">
        <v>359</v>
      </c>
      <c r="BG77" s="82" t="s">
        <v>359</v>
      </c>
      <c r="BH77" s="82" t="s">
        <v>547</v>
      </c>
      <c r="BI77" s="82"/>
      <c r="BJ77" s="82"/>
      <c r="BK77" s="74">
        <v>45413.382349537038</v>
      </c>
      <c r="BL77" s="74">
        <v>45392.713692129633</v>
      </c>
      <c r="BM77" s="82" t="s">
        <v>1888</v>
      </c>
      <c r="BN77" s="82" t="b">
        <v>0</v>
      </c>
      <c r="BO77" s="89"/>
    </row>
    <row r="78" spans="1:67">
      <c r="A78" s="100">
        <v>100277</v>
      </c>
      <c r="B78" s="89" t="s">
        <v>777</v>
      </c>
      <c r="C78" s="89" t="s">
        <v>95</v>
      </c>
      <c r="D78" s="89" t="s">
        <v>778</v>
      </c>
      <c r="E78" s="89" t="s">
        <v>779</v>
      </c>
      <c r="F78" s="89" t="s">
        <v>780</v>
      </c>
      <c r="G78" s="89" t="s">
        <v>781</v>
      </c>
      <c r="H78" s="89" t="s">
        <v>782</v>
      </c>
      <c r="I78" s="89" t="s">
        <v>783</v>
      </c>
      <c r="J78" s="89" t="s">
        <v>784</v>
      </c>
      <c r="K78" s="89"/>
      <c r="L78" s="89" t="s">
        <v>785</v>
      </c>
      <c r="M78" s="89" t="s">
        <v>786</v>
      </c>
      <c r="N78" s="89" t="s">
        <v>787</v>
      </c>
      <c r="O78" s="89">
        <v>4</v>
      </c>
      <c r="P78" s="89" t="s">
        <v>788</v>
      </c>
      <c r="Q78" s="89" t="s">
        <v>789</v>
      </c>
      <c r="R78" s="89" t="s">
        <v>790</v>
      </c>
      <c r="S78" s="89"/>
      <c r="T78" s="89"/>
      <c r="U78" s="93"/>
      <c r="V78" s="93"/>
      <c r="W78" s="93"/>
      <c r="X78" s="89"/>
      <c r="Y78" s="89"/>
      <c r="Z78" s="89"/>
      <c r="AA78" s="89"/>
      <c r="AB78" s="93"/>
      <c r="AC78" s="93"/>
      <c r="AD78" s="89"/>
      <c r="AE78" s="89"/>
      <c r="AF78" s="89">
        <v>0</v>
      </c>
      <c r="AG78" s="89">
        <v>14</v>
      </c>
      <c r="AH78" s="89">
        <v>0</v>
      </c>
      <c r="AI78" s="89">
        <v>60</v>
      </c>
      <c r="AJ78" s="89">
        <v>0</v>
      </c>
      <c r="AK78" s="89">
        <v>0</v>
      </c>
      <c r="AL78" s="89">
        <v>0</v>
      </c>
      <c r="AM78" s="89">
        <v>0</v>
      </c>
      <c r="AN78" s="89">
        <v>240</v>
      </c>
      <c r="AO78" s="89">
        <v>0</v>
      </c>
      <c r="AP78" s="89">
        <v>0</v>
      </c>
      <c r="AQ78" s="89">
        <v>12</v>
      </c>
      <c r="AR78" s="89">
        <v>0</v>
      </c>
      <c r="AS78" s="89">
        <v>0</v>
      </c>
      <c r="AT78" s="89">
        <v>0</v>
      </c>
      <c r="AU78" s="89"/>
      <c r="AV78" s="89">
        <v>70</v>
      </c>
      <c r="AW78" s="89" t="s">
        <v>358</v>
      </c>
      <c r="AX78" s="89" t="s">
        <v>373</v>
      </c>
      <c r="AY78" s="89"/>
      <c r="AZ78" s="89"/>
      <c r="BA78" s="89"/>
      <c r="BB78" s="89"/>
      <c r="BC78" s="89"/>
      <c r="BD78" s="89"/>
      <c r="BE78" s="89"/>
      <c r="BF78" s="89"/>
      <c r="BG78" s="89"/>
      <c r="BH78" s="89"/>
      <c r="BI78" s="89"/>
      <c r="BJ78" s="89"/>
      <c r="BK78" s="74">
        <v>45078.377812500003</v>
      </c>
      <c r="BL78" s="74">
        <v>44959.313888888893</v>
      </c>
      <c r="BM78" s="89" t="s">
        <v>791</v>
      </c>
      <c r="BN78" s="89" t="b">
        <v>0</v>
      </c>
      <c r="BO78" s="89"/>
    </row>
    <row r="79" spans="1:67">
      <c r="A79" s="100">
        <v>100293</v>
      </c>
      <c r="B79" s="89" t="s">
        <v>118</v>
      </c>
      <c r="C79" s="89" t="s">
        <v>95</v>
      </c>
      <c r="D79" s="89" t="s">
        <v>792</v>
      </c>
      <c r="E79" s="89" t="s">
        <v>793</v>
      </c>
      <c r="F79" s="89" t="s">
        <v>794</v>
      </c>
      <c r="G79" s="89" t="s">
        <v>794</v>
      </c>
      <c r="H79" s="89" t="s">
        <v>795</v>
      </c>
      <c r="I79" s="89" t="s">
        <v>795</v>
      </c>
      <c r="J79" s="89" t="s">
        <v>796</v>
      </c>
      <c r="K79" s="89" t="s">
        <v>370</v>
      </c>
      <c r="L79" s="89">
        <v>37.700000000000003</v>
      </c>
      <c r="M79" s="89" t="s">
        <v>353</v>
      </c>
      <c r="N79" s="89" t="s">
        <v>354</v>
      </c>
      <c r="O79" s="89">
        <v>37.700000000000003</v>
      </c>
      <c r="P79" s="89" t="s">
        <v>353</v>
      </c>
      <c r="Q79" s="89" t="s">
        <v>797</v>
      </c>
      <c r="R79" s="89" t="s">
        <v>474</v>
      </c>
      <c r="S79" s="89"/>
      <c r="T79" s="89"/>
      <c r="U79" s="93"/>
      <c r="V79" s="93"/>
      <c r="W79" s="93"/>
      <c r="X79" s="89"/>
      <c r="Y79" s="89"/>
      <c r="Z79" s="89"/>
      <c r="AA79" s="89"/>
      <c r="AB79" s="93"/>
      <c r="AC79" s="93"/>
      <c r="AD79" s="89"/>
      <c r="AE79" s="89"/>
      <c r="AF79" s="89">
        <v>23</v>
      </c>
      <c r="AG79" s="89">
        <v>30</v>
      </c>
      <c r="AH79" s="89">
        <v>0</v>
      </c>
      <c r="AI79" s="89">
        <v>110</v>
      </c>
      <c r="AJ79" s="89">
        <v>0</v>
      </c>
      <c r="AK79" s="89">
        <v>0</v>
      </c>
      <c r="AL79" s="89">
        <v>2</v>
      </c>
      <c r="AM79" s="89">
        <v>1</v>
      </c>
      <c r="AN79" s="89">
        <v>280</v>
      </c>
      <c r="AO79" s="89">
        <v>1</v>
      </c>
      <c r="AP79" s="89">
        <v>10</v>
      </c>
      <c r="AQ79" s="89">
        <v>25</v>
      </c>
      <c r="AR79" s="89">
        <v>0</v>
      </c>
      <c r="AS79" s="89">
        <v>0</v>
      </c>
      <c r="AT79" s="89">
        <v>0</v>
      </c>
      <c r="AU79" s="89"/>
      <c r="AV79" s="89">
        <v>144</v>
      </c>
      <c r="AW79" s="89" t="s">
        <v>372</v>
      </c>
      <c r="AX79" s="89" t="b">
        <v>1</v>
      </c>
      <c r="AY79" s="89"/>
      <c r="AZ79" s="89"/>
      <c r="BA79" s="89"/>
      <c r="BB79" s="89"/>
      <c r="BC79" s="89"/>
      <c r="BD79" s="89"/>
      <c r="BE79" s="89"/>
      <c r="BF79" s="89"/>
      <c r="BG79" s="89"/>
      <c r="BH79" s="89"/>
      <c r="BI79" s="89"/>
      <c r="BJ79" s="89"/>
      <c r="BK79" s="74">
        <v>45112.54959490741</v>
      </c>
      <c r="BL79" s="74">
        <v>45082.470150462963</v>
      </c>
      <c r="BM79" s="89" t="s">
        <v>798</v>
      </c>
      <c r="BN79" s="89" t="b">
        <v>0</v>
      </c>
      <c r="BO79" s="89"/>
    </row>
    <row r="80" spans="1:67">
      <c r="A80" s="100">
        <v>100293</v>
      </c>
      <c r="B80" s="89" t="s">
        <v>118</v>
      </c>
      <c r="C80" s="89" t="s">
        <v>95</v>
      </c>
      <c r="D80" s="89" t="s">
        <v>799</v>
      </c>
      <c r="E80" s="89" t="s">
        <v>800</v>
      </c>
      <c r="F80" s="89" t="s">
        <v>800</v>
      </c>
      <c r="G80" s="89" t="s">
        <v>800</v>
      </c>
      <c r="H80" s="89" t="s">
        <v>801</v>
      </c>
      <c r="I80" s="89" t="s">
        <v>802</v>
      </c>
      <c r="J80" s="89" t="s">
        <v>803</v>
      </c>
      <c r="K80" s="89" t="s">
        <v>370</v>
      </c>
      <c r="L80" s="89">
        <v>37.700000000000003</v>
      </c>
      <c r="M80" s="89" t="s">
        <v>353</v>
      </c>
      <c r="N80" s="89" t="s">
        <v>354</v>
      </c>
      <c r="O80" s="89">
        <v>37.700000000000003</v>
      </c>
      <c r="P80" s="89" t="s">
        <v>353</v>
      </c>
      <c r="Q80" s="89" t="s">
        <v>797</v>
      </c>
      <c r="R80" s="89" t="s">
        <v>371</v>
      </c>
      <c r="S80" s="89"/>
      <c r="T80" s="89"/>
      <c r="U80" s="93"/>
      <c r="V80" s="93"/>
      <c r="W80" s="93"/>
      <c r="X80" s="89"/>
      <c r="Y80" s="89"/>
      <c r="Z80" s="89"/>
      <c r="AA80" s="89"/>
      <c r="AB80" s="93"/>
      <c r="AC80" s="93"/>
      <c r="AD80" s="89"/>
      <c r="AE80" s="89"/>
      <c r="AF80" s="89">
        <v>19</v>
      </c>
      <c r="AG80" s="89">
        <v>30</v>
      </c>
      <c r="AH80" s="89">
        <v>0</v>
      </c>
      <c r="AI80" s="89">
        <v>110</v>
      </c>
      <c r="AJ80" s="89">
        <v>0</v>
      </c>
      <c r="AK80" s="89">
        <v>0</v>
      </c>
      <c r="AL80" s="89">
        <v>1</v>
      </c>
      <c r="AM80" s="89">
        <v>1</v>
      </c>
      <c r="AN80" s="89">
        <v>280</v>
      </c>
      <c r="AO80" s="89">
        <v>1</v>
      </c>
      <c r="AP80" s="89">
        <v>0</v>
      </c>
      <c r="AQ80" s="89">
        <v>22</v>
      </c>
      <c r="AR80" s="89">
        <v>0</v>
      </c>
      <c r="AS80" s="89">
        <v>0</v>
      </c>
      <c r="AT80" s="89">
        <v>0</v>
      </c>
      <c r="AU80" s="89"/>
      <c r="AV80" s="89">
        <v>144</v>
      </c>
      <c r="AW80" s="89" t="s">
        <v>372</v>
      </c>
      <c r="AX80" s="89" t="s">
        <v>373</v>
      </c>
      <c r="AY80" s="89"/>
      <c r="AZ80" s="89"/>
      <c r="BA80" s="89"/>
      <c r="BB80" s="89"/>
      <c r="BC80" s="89"/>
      <c r="BD80" s="89"/>
      <c r="BE80" s="89"/>
      <c r="BF80" s="89"/>
      <c r="BG80" s="89"/>
      <c r="BH80" s="89" t="s">
        <v>804</v>
      </c>
      <c r="BI80" s="89"/>
      <c r="BJ80" s="89"/>
      <c r="BK80" s="74">
        <v>45112.569525462961</v>
      </c>
      <c r="BL80" s="74">
        <v>45100.481782407413</v>
      </c>
      <c r="BM80" s="89" t="s">
        <v>798</v>
      </c>
      <c r="BN80" s="89" t="b">
        <v>0</v>
      </c>
      <c r="BO80" s="89"/>
    </row>
    <row r="81" spans="1:67">
      <c r="A81" s="85">
        <v>100293</v>
      </c>
      <c r="B81" s="83" t="s">
        <v>118</v>
      </c>
      <c r="C81" s="83" t="s">
        <v>95</v>
      </c>
      <c r="D81" s="83" t="s">
        <v>813</v>
      </c>
      <c r="E81" s="83" t="s">
        <v>814</v>
      </c>
      <c r="F81" s="83" t="s">
        <v>814</v>
      </c>
      <c r="G81" s="83" t="s">
        <v>814</v>
      </c>
      <c r="H81" s="83" t="s">
        <v>815</v>
      </c>
      <c r="I81" s="83" t="s">
        <v>815</v>
      </c>
      <c r="J81" s="83" t="s">
        <v>803</v>
      </c>
      <c r="K81" s="83" t="s">
        <v>370</v>
      </c>
      <c r="L81" s="82">
        <v>38</v>
      </c>
      <c r="M81" s="83" t="s">
        <v>353</v>
      </c>
      <c r="N81" s="83" t="s">
        <v>419</v>
      </c>
      <c r="O81" s="83">
        <v>100</v>
      </c>
      <c r="P81" s="83" t="s">
        <v>353</v>
      </c>
      <c r="Q81" s="82" t="s">
        <v>797</v>
      </c>
      <c r="R81" s="83" t="s">
        <v>371</v>
      </c>
      <c r="S81" s="83"/>
      <c r="T81" s="83"/>
      <c r="U81" s="84"/>
      <c r="V81" s="84"/>
      <c r="W81" s="84"/>
      <c r="X81" s="83"/>
      <c r="Y81" s="83"/>
      <c r="Z81" s="83"/>
      <c r="AA81" s="83"/>
      <c r="AB81" s="84"/>
      <c r="AC81" s="84"/>
      <c r="AD81" s="83"/>
      <c r="AE81" s="83"/>
      <c r="AF81" s="82">
        <v>19</v>
      </c>
      <c r="AG81" s="82">
        <v>30.02</v>
      </c>
      <c r="AH81" s="82">
        <v>0</v>
      </c>
      <c r="AI81" s="82">
        <v>114</v>
      </c>
      <c r="AJ81" s="82">
        <v>0</v>
      </c>
      <c r="AK81" s="82">
        <v>0</v>
      </c>
      <c r="AL81" s="82">
        <v>1.52</v>
      </c>
      <c r="AM81" s="82">
        <v>0.68400000000000005</v>
      </c>
      <c r="AN81" s="82">
        <v>284.62</v>
      </c>
      <c r="AO81" s="82">
        <v>1.1399999999999999</v>
      </c>
      <c r="AP81" s="82">
        <v>7.6</v>
      </c>
      <c r="AQ81" s="82">
        <v>22.42</v>
      </c>
      <c r="AR81" s="83">
        <v>0</v>
      </c>
      <c r="AS81" s="83">
        <v>0</v>
      </c>
      <c r="AT81" s="83">
        <v>0</v>
      </c>
      <c r="AU81" s="83"/>
      <c r="AV81" s="83">
        <f>1*(144)</f>
        <v>144</v>
      </c>
      <c r="AW81" s="83" t="s">
        <v>372</v>
      </c>
      <c r="AX81" s="82" t="b">
        <v>1</v>
      </c>
      <c r="AY81" s="82"/>
      <c r="AZ81" s="82"/>
      <c r="BA81" s="82"/>
      <c r="BB81" s="82"/>
      <c r="BC81" s="82"/>
      <c r="BD81" s="82"/>
      <c r="BE81" s="82"/>
      <c r="BF81" s="82"/>
      <c r="BG81" s="82"/>
      <c r="BH81" s="82"/>
      <c r="BI81" s="82"/>
      <c r="BJ81" s="82"/>
      <c r="BK81" s="74">
        <v>45352.407870370371</v>
      </c>
      <c r="BL81" s="74">
        <v>45351.676608796297</v>
      </c>
      <c r="BM81" s="83" t="s">
        <v>798</v>
      </c>
      <c r="BN81" s="83" t="b">
        <v>1</v>
      </c>
      <c r="BO81" s="89"/>
    </row>
    <row r="82" spans="1:67">
      <c r="A82" s="100">
        <v>100293</v>
      </c>
      <c r="B82" s="89" t="s">
        <v>118</v>
      </c>
      <c r="C82" s="89" t="s">
        <v>95</v>
      </c>
      <c r="D82" s="89" t="s">
        <v>805</v>
      </c>
      <c r="E82" s="82" t="s">
        <v>806</v>
      </c>
      <c r="F82" s="89" t="s">
        <v>807</v>
      </c>
      <c r="G82" s="89" t="s">
        <v>807</v>
      </c>
      <c r="H82" s="89" t="s">
        <v>808</v>
      </c>
      <c r="I82" s="89" t="s">
        <v>809</v>
      </c>
      <c r="J82" s="89" t="s">
        <v>798</v>
      </c>
      <c r="K82" s="89" t="s">
        <v>370</v>
      </c>
      <c r="L82" s="104">
        <v>38</v>
      </c>
      <c r="M82" s="89" t="s">
        <v>353</v>
      </c>
      <c r="N82" s="89" t="s">
        <v>354</v>
      </c>
      <c r="O82" s="104">
        <v>38</v>
      </c>
      <c r="P82" s="89" t="s">
        <v>353</v>
      </c>
      <c r="Q82" s="89" t="s">
        <v>797</v>
      </c>
      <c r="R82" s="89" t="s">
        <v>371</v>
      </c>
      <c r="S82" s="89"/>
      <c r="T82" s="89"/>
      <c r="U82" s="93"/>
      <c r="V82" s="93"/>
      <c r="W82" s="93"/>
      <c r="X82" s="89"/>
      <c r="Y82" s="89"/>
      <c r="Z82" s="89"/>
      <c r="AA82" s="89"/>
      <c r="AB82" s="93"/>
      <c r="AC82" s="93"/>
      <c r="AD82" s="89"/>
      <c r="AE82" s="89"/>
      <c r="AF82" s="89">
        <v>20</v>
      </c>
      <c r="AG82" s="89">
        <v>30</v>
      </c>
      <c r="AH82" s="89">
        <v>0</v>
      </c>
      <c r="AI82" s="89">
        <v>120</v>
      </c>
      <c r="AJ82" s="89">
        <v>0</v>
      </c>
      <c r="AK82" s="89">
        <v>0</v>
      </c>
      <c r="AL82" s="89">
        <v>2</v>
      </c>
      <c r="AM82" s="89">
        <v>0.7</v>
      </c>
      <c r="AN82" s="89">
        <v>280</v>
      </c>
      <c r="AO82" s="89">
        <v>1</v>
      </c>
      <c r="AP82" s="89">
        <v>10</v>
      </c>
      <c r="AQ82" s="89">
        <v>24</v>
      </c>
      <c r="AR82" s="89">
        <v>0</v>
      </c>
      <c r="AS82" s="89">
        <v>0</v>
      </c>
      <c r="AT82" s="89">
        <v>0</v>
      </c>
      <c r="AU82" s="89" t="s">
        <v>810</v>
      </c>
      <c r="AV82" s="104">
        <v>144</v>
      </c>
      <c r="AW82" s="89" t="s">
        <v>372</v>
      </c>
      <c r="AX82" s="106" t="s">
        <v>373</v>
      </c>
      <c r="AY82" s="89" t="s">
        <v>476</v>
      </c>
      <c r="AZ82" s="89" t="s">
        <v>359</v>
      </c>
      <c r="BA82" s="89" t="s">
        <v>476</v>
      </c>
      <c r="BB82" s="89" t="s">
        <v>476</v>
      </c>
      <c r="BC82" s="89" t="s">
        <v>476</v>
      </c>
      <c r="BD82" s="89" t="s">
        <v>359</v>
      </c>
      <c r="BE82" s="89" t="s">
        <v>476</v>
      </c>
      <c r="BF82" s="89" t="s">
        <v>476</v>
      </c>
      <c r="BG82" s="89" t="s">
        <v>476</v>
      </c>
      <c r="BH82" s="89" t="s">
        <v>811</v>
      </c>
      <c r="BI82" s="89" t="s">
        <v>812</v>
      </c>
      <c r="BJ82" s="89"/>
      <c r="BK82" s="74">
        <v>45323.370370370372</v>
      </c>
      <c r="BL82" s="74">
        <v>45315.324826388889</v>
      </c>
      <c r="BM82" s="89" t="s">
        <v>795</v>
      </c>
      <c r="BN82" s="89" t="b">
        <v>0</v>
      </c>
      <c r="BO82" s="89"/>
    </row>
    <row r="83" spans="1:67">
      <c r="A83" s="100">
        <v>100307</v>
      </c>
      <c r="B83" s="89" t="s">
        <v>210</v>
      </c>
      <c r="C83" s="89" t="s">
        <v>209</v>
      </c>
      <c r="D83" s="89" t="s">
        <v>816</v>
      </c>
      <c r="E83" s="89" t="s">
        <v>817</v>
      </c>
      <c r="F83" s="89" t="s">
        <v>626</v>
      </c>
      <c r="G83" s="89" t="s">
        <v>626</v>
      </c>
      <c r="H83" s="89" t="s">
        <v>818</v>
      </c>
      <c r="I83" s="89" t="s">
        <v>819</v>
      </c>
      <c r="J83" s="89" t="s">
        <v>820</v>
      </c>
      <c r="K83" s="89"/>
      <c r="L83" s="89">
        <v>120</v>
      </c>
      <c r="M83" s="89" t="s">
        <v>353</v>
      </c>
      <c r="N83" s="89" t="s">
        <v>354</v>
      </c>
      <c r="O83" s="89">
        <v>120</v>
      </c>
      <c r="P83" s="89" t="s">
        <v>353</v>
      </c>
      <c r="Q83" s="89" t="s">
        <v>630</v>
      </c>
      <c r="R83" s="89" t="s">
        <v>474</v>
      </c>
      <c r="S83" s="89"/>
      <c r="T83" s="89"/>
      <c r="U83" s="89"/>
      <c r="V83" s="89"/>
      <c r="W83" s="89"/>
      <c r="X83" s="89"/>
      <c r="Y83" s="89"/>
      <c r="Z83" s="89"/>
      <c r="AA83" s="89"/>
      <c r="AB83" s="89"/>
      <c r="AC83" s="89"/>
      <c r="AD83" s="89"/>
      <c r="AE83" s="89"/>
      <c r="AF83" s="89">
        <v>20</v>
      </c>
      <c r="AG83" s="89">
        <v>4</v>
      </c>
      <c r="AH83" s="89">
        <v>0</v>
      </c>
      <c r="AI83" s="89">
        <v>20</v>
      </c>
      <c r="AJ83" s="89">
        <v>0</v>
      </c>
      <c r="AK83" s="89">
        <v>0</v>
      </c>
      <c r="AL83" s="89">
        <v>1</v>
      </c>
      <c r="AM83" s="89">
        <v>0.5</v>
      </c>
      <c r="AN83" s="89"/>
      <c r="AO83" s="89">
        <v>1</v>
      </c>
      <c r="AP83" s="89">
        <v>140</v>
      </c>
      <c r="AQ83" s="89">
        <v>1</v>
      </c>
      <c r="AR83" s="89">
        <v>0</v>
      </c>
      <c r="AS83" s="89">
        <v>0</v>
      </c>
      <c r="AT83" s="89">
        <v>0</v>
      </c>
      <c r="AU83" s="89"/>
      <c r="AV83" s="89">
        <f>24*6</f>
        <v>144</v>
      </c>
      <c r="AW83" s="89" t="s">
        <v>372</v>
      </c>
      <c r="AX83" s="89" t="b">
        <v>1</v>
      </c>
      <c r="AY83" s="89" t="s">
        <v>359</v>
      </c>
      <c r="AZ83" s="89" t="s">
        <v>359</v>
      </c>
      <c r="BA83" s="89" t="s">
        <v>359</v>
      </c>
      <c r="BB83" s="89" t="s">
        <v>359</v>
      </c>
      <c r="BC83" s="89"/>
      <c r="BD83" s="89" t="s">
        <v>359</v>
      </c>
      <c r="BE83" s="89" t="s">
        <v>359</v>
      </c>
      <c r="BF83" s="89" t="s">
        <v>359</v>
      </c>
      <c r="BG83" s="89" t="s">
        <v>359</v>
      </c>
      <c r="BH83" s="89" t="s">
        <v>821</v>
      </c>
      <c r="BI83" s="89" t="s">
        <v>656</v>
      </c>
      <c r="BJ83" s="89"/>
      <c r="BK83" s="74">
        <v>45078.376099537039</v>
      </c>
      <c r="BL83" s="74">
        <v>45058.347604166673</v>
      </c>
      <c r="BM83" s="89" t="s">
        <v>822</v>
      </c>
      <c r="BN83" s="89" t="b">
        <v>0</v>
      </c>
      <c r="BO83" s="89"/>
    </row>
    <row r="84" spans="1:67">
      <c r="A84" s="85">
        <v>100307</v>
      </c>
      <c r="B84" s="83" t="s">
        <v>210</v>
      </c>
      <c r="C84" s="83" t="s">
        <v>209</v>
      </c>
      <c r="D84" s="83" t="s">
        <v>823</v>
      </c>
      <c r="E84" s="89" t="s">
        <v>647</v>
      </c>
      <c r="F84" s="89" t="s">
        <v>647</v>
      </c>
      <c r="G84" s="83" t="s">
        <v>648</v>
      </c>
      <c r="H84" s="83" t="s">
        <v>824</v>
      </c>
      <c r="I84" s="83" t="s">
        <v>825</v>
      </c>
      <c r="J84" s="83" t="s">
        <v>826</v>
      </c>
      <c r="K84" s="83"/>
      <c r="L84" s="85">
        <v>121</v>
      </c>
      <c r="M84" s="83" t="s">
        <v>353</v>
      </c>
      <c r="N84" s="83" t="s">
        <v>354</v>
      </c>
      <c r="O84" s="83">
        <v>121</v>
      </c>
      <c r="P84" s="83" t="s">
        <v>353</v>
      </c>
      <c r="Q84" s="83" t="s">
        <v>630</v>
      </c>
      <c r="R84" s="83" t="s">
        <v>371</v>
      </c>
      <c r="S84" s="83"/>
      <c r="T84" s="83"/>
      <c r="U84" s="84"/>
      <c r="V84" s="84"/>
      <c r="W84" s="84"/>
      <c r="X84" s="83"/>
      <c r="Y84" s="83"/>
      <c r="Z84" s="83"/>
      <c r="AA84" s="83"/>
      <c r="AB84" s="84"/>
      <c r="AC84" s="84"/>
      <c r="AD84" s="83"/>
      <c r="AE84" s="83"/>
      <c r="AF84" s="83">
        <v>29</v>
      </c>
      <c r="AG84" s="83">
        <v>3</v>
      </c>
      <c r="AH84" s="83">
        <v>0</v>
      </c>
      <c r="AI84" s="83">
        <v>20</v>
      </c>
      <c r="AJ84" s="83">
        <v>0</v>
      </c>
      <c r="AK84" s="83">
        <v>0</v>
      </c>
      <c r="AL84" s="83">
        <v>1</v>
      </c>
      <c r="AM84" s="83">
        <v>0.5</v>
      </c>
      <c r="AN84" s="83">
        <v>98</v>
      </c>
      <c r="AO84" s="83">
        <v>1</v>
      </c>
      <c r="AP84" s="83">
        <v>140</v>
      </c>
      <c r="AQ84" s="83">
        <v>1</v>
      </c>
      <c r="AR84" s="83">
        <v>0</v>
      </c>
      <c r="AS84" s="83">
        <v>0</v>
      </c>
      <c r="AT84" s="83">
        <v>0</v>
      </c>
      <c r="AU84" s="83" t="s">
        <v>357</v>
      </c>
      <c r="AV84" s="83">
        <f>24*6</f>
        <v>144</v>
      </c>
      <c r="AW84" s="83" t="s">
        <v>372</v>
      </c>
      <c r="AX84" s="83"/>
      <c r="AY84" s="83" t="s">
        <v>359</v>
      </c>
      <c r="AZ84" s="83" t="s">
        <v>359</v>
      </c>
      <c r="BA84" s="83" t="s">
        <v>359</v>
      </c>
      <c r="BB84" s="83" t="s">
        <v>359</v>
      </c>
      <c r="BC84" s="83" t="s">
        <v>359</v>
      </c>
      <c r="BD84" s="83" t="s">
        <v>476</v>
      </c>
      <c r="BE84" s="83" t="s">
        <v>359</v>
      </c>
      <c r="BF84" s="83" t="s">
        <v>359</v>
      </c>
      <c r="BG84" s="83" t="s">
        <v>359</v>
      </c>
      <c r="BH84" s="82" t="s">
        <v>651</v>
      </c>
      <c r="BI84" s="89" t="s">
        <v>652</v>
      </c>
      <c r="BJ84" s="83"/>
      <c r="BK84" s="74">
        <v>45170.400104166663</v>
      </c>
      <c r="BL84" s="74">
        <v>45153.70722222222</v>
      </c>
      <c r="BM84" s="83" t="s">
        <v>822</v>
      </c>
      <c r="BN84" s="83" t="b">
        <v>0</v>
      </c>
      <c r="BO84" s="89"/>
    </row>
    <row r="85" spans="1:67">
      <c r="A85" s="100">
        <v>100307</v>
      </c>
      <c r="B85" s="89" t="s">
        <v>210</v>
      </c>
      <c r="C85" s="89" t="s">
        <v>209</v>
      </c>
      <c r="D85" s="89" t="s">
        <v>827</v>
      </c>
      <c r="E85" s="89" t="s">
        <v>828</v>
      </c>
      <c r="F85" s="89" t="s">
        <v>829</v>
      </c>
      <c r="G85" s="89" t="s">
        <v>829</v>
      </c>
      <c r="H85" s="89" t="s">
        <v>830</v>
      </c>
      <c r="I85" s="89" t="s">
        <v>831</v>
      </c>
      <c r="J85" s="89" t="s">
        <v>830</v>
      </c>
      <c r="K85" s="89" t="s">
        <v>370</v>
      </c>
      <c r="L85" s="89">
        <v>130</v>
      </c>
      <c r="M85" s="89" t="s">
        <v>353</v>
      </c>
      <c r="N85" s="89" t="s">
        <v>354</v>
      </c>
      <c r="O85" s="89"/>
      <c r="P85" s="89"/>
      <c r="Q85" s="89" t="s">
        <v>630</v>
      </c>
      <c r="R85" s="89" t="s">
        <v>564</v>
      </c>
      <c r="S85" s="89"/>
      <c r="T85" s="89"/>
      <c r="U85" s="93"/>
      <c r="V85" s="93"/>
      <c r="W85" s="93"/>
      <c r="X85" s="89"/>
      <c r="Y85" s="89"/>
      <c r="Z85" s="89"/>
      <c r="AA85" s="89"/>
      <c r="AB85" s="93"/>
      <c r="AC85" s="93"/>
      <c r="AD85" s="89"/>
      <c r="AE85" s="89"/>
      <c r="AF85" s="89">
        <v>30</v>
      </c>
      <c r="AG85" s="89">
        <v>5</v>
      </c>
      <c r="AH85" s="89">
        <v>0</v>
      </c>
      <c r="AI85" s="89">
        <v>25</v>
      </c>
      <c r="AJ85" s="89">
        <v>0</v>
      </c>
      <c r="AK85" s="89">
        <v>0</v>
      </c>
      <c r="AL85" s="89">
        <v>7</v>
      </c>
      <c r="AM85" s="89">
        <v>0.8</v>
      </c>
      <c r="AN85" s="89">
        <v>160</v>
      </c>
      <c r="AO85" s="89">
        <v>1</v>
      </c>
      <c r="AP85" s="89">
        <v>85</v>
      </c>
      <c r="AQ85" s="89">
        <v>2</v>
      </c>
      <c r="AR85" s="89">
        <v>0</v>
      </c>
      <c r="AS85" s="89">
        <v>0</v>
      </c>
      <c r="AT85" s="89">
        <v>0</v>
      </c>
      <c r="AU85" s="89"/>
      <c r="AV85" s="89">
        <f>22*6</f>
        <v>132</v>
      </c>
      <c r="AW85" s="89" t="s">
        <v>358</v>
      </c>
      <c r="AX85" s="89"/>
      <c r="AY85" s="89" t="s">
        <v>476</v>
      </c>
      <c r="AZ85" s="89" t="s">
        <v>476</v>
      </c>
      <c r="BA85" s="89" t="s">
        <v>476</v>
      </c>
      <c r="BB85" s="89" t="s">
        <v>476</v>
      </c>
      <c r="BC85" s="89" t="s">
        <v>476</v>
      </c>
      <c r="BD85" s="89" t="s">
        <v>476</v>
      </c>
      <c r="BE85" s="89" t="s">
        <v>476</v>
      </c>
      <c r="BF85" s="89" t="s">
        <v>476</v>
      </c>
      <c r="BG85" s="89" t="s">
        <v>476</v>
      </c>
      <c r="BH85" s="89" t="s">
        <v>832</v>
      </c>
      <c r="BI85" s="89" t="s">
        <v>656</v>
      </c>
      <c r="BJ85" s="89"/>
      <c r="BK85" s="74">
        <v>45078.383530092593</v>
      </c>
      <c r="BL85" s="74">
        <v>45054.39534722222</v>
      </c>
      <c r="BM85" s="89" t="s">
        <v>822</v>
      </c>
      <c r="BN85" s="89" t="b">
        <v>0</v>
      </c>
      <c r="BO85" s="89"/>
    </row>
    <row r="86" spans="1:67">
      <c r="A86" s="73">
        <v>100307</v>
      </c>
      <c r="B86" s="82" t="s">
        <v>210</v>
      </c>
      <c r="C86" s="82" t="s">
        <v>209</v>
      </c>
      <c r="D86" s="82" t="s">
        <v>833</v>
      </c>
      <c r="E86" s="82" t="s">
        <v>570</v>
      </c>
      <c r="F86" s="82" t="s">
        <v>544</v>
      </c>
      <c r="G86" s="82" t="s">
        <v>544</v>
      </c>
      <c r="H86" s="82" t="s">
        <v>834</v>
      </c>
      <c r="I86" s="82" t="s">
        <v>835</v>
      </c>
      <c r="J86" s="82" t="s">
        <v>836</v>
      </c>
      <c r="K86" s="82" t="s">
        <v>370</v>
      </c>
      <c r="L86" s="101">
        <v>120</v>
      </c>
      <c r="M86" s="82" t="s">
        <v>353</v>
      </c>
      <c r="N86" s="82" t="s">
        <v>354</v>
      </c>
      <c r="O86" s="101"/>
      <c r="P86" s="82"/>
      <c r="Q86" s="82" t="s">
        <v>630</v>
      </c>
      <c r="R86" s="82" t="s">
        <v>371</v>
      </c>
      <c r="S86" s="82"/>
      <c r="T86" s="82"/>
      <c r="U86" s="82"/>
      <c r="V86" s="82"/>
      <c r="W86" s="82"/>
      <c r="X86" s="82"/>
      <c r="Y86" s="82"/>
      <c r="Z86" s="82"/>
      <c r="AA86" s="82"/>
      <c r="AB86" s="82"/>
      <c r="AC86" s="82"/>
      <c r="AD86" s="82"/>
      <c r="AE86" s="82"/>
      <c r="AF86" s="82">
        <v>30</v>
      </c>
      <c r="AG86" s="82">
        <v>4</v>
      </c>
      <c r="AH86" s="82">
        <v>0</v>
      </c>
      <c r="AI86" s="82">
        <v>20</v>
      </c>
      <c r="AJ86" s="82">
        <v>0</v>
      </c>
      <c r="AK86" s="82">
        <v>0</v>
      </c>
      <c r="AL86" s="82">
        <v>2</v>
      </c>
      <c r="AM86" s="82">
        <v>0.4</v>
      </c>
      <c r="AN86" s="82">
        <v>100</v>
      </c>
      <c r="AO86" s="82">
        <v>1</v>
      </c>
      <c r="AP86" s="82">
        <v>140</v>
      </c>
      <c r="AQ86" s="82">
        <v>2</v>
      </c>
      <c r="AR86" s="82">
        <v>0</v>
      </c>
      <c r="AS86" s="82">
        <v>0</v>
      </c>
      <c r="AT86" s="82">
        <v>0</v>
      </c>
      <c r="AU86" s="82"/>
      <c r="AV86" s="101">
        <f>24*6</f>
        <v>144</v>
      </c>
      <c r="AW86" s="82" t="s">
        <v>372</v>
      </c>
      <c r="AX86" s="107" t="b">
        <v>1</v>
      </c>
      <c r="AY86" s="82" t="s">
        <v>359</v>
      </c>
      <c r="AZ86" s="82" t="s">
        <v>359</v>
      </c>
      <c r="BA86" s="82" t="s">
        <v>359</v>
      </c>
      <c r="BB86" s="82" t="s">
        <v>359</v>
      </c>
      <c r="BC86" s="82" t="s">
        <v>359</v>
      </c>
      <c r="BD86" s="82" t="s">
        <v>359</v>
      </c>
      <c r="BE86" s="82" t="s">
        <v>359</v>
      </c>
      <c r="BF86" s="82" t="s">
        <v>359</v>
      </c>
      <c r="BG86" s="82" t="s">
        <v>359</v>
      </c>
      <c r="BH86" s="82" t="s">
        <v>547</v>
      </c>
      <c r="BI86" s="82" t="s">
        <v>656</v>
      </c>
      <c r="BJ86" s="82"/>
      <c r="BK86" s="82" t="s">
        <v>2015</v>
      </c>
      <c r="BL86" s="82" t="s">
        <v>2016</v>
      </c>
      <c r="BM86" s="82" t="s">
        <v>822</v>
      </c>
      <c r="BN86" s="82" t="b">
        <v>0</v>
      </c>
      <c r="BO86" s="89"/>
    </row>
    <row r="87" spans="1:67">
      <c r="A87" s="85">
        <v>100307</v>
      </c>
      <c r="B87" s="83" t="s">
        <v>210</v>
      </c>
      <c r="C87" s="83" t="s">
        <v>209</v>
      </c>
      <c r="D87" s="86" t="s">
        <v>837</v>
      </c>
      <c r="E87" s="89" t="s">
        <v>838</v>
      </c>
      <c r="F87" s="83" t="s">
        <v>839</v>
      </c>
      <c r="G87" s="83" t="s">
        <v>839</v>
      </c>
      <c r="H87" s="83" t="s">
        <v>840</v>
      </c>
      <c r="I87" s="83" t="s">
        <v>841</v>
      </c>
      <c r="J87" s="83" t="s">
        <v>842</v>
      </c>
      <c r="K87" s="83" t="s">
        <v>370</v>
      </c>
      <c r="L87" s="101">
        <v>120</v>
      </c>
      <c r="M87" s="82" t="s">
        <v>353</v>
      </c>
      <c r="N87" s="82" t="s">
        <v>354</v>
      </c>
      <c r="O87" s="101">
        <v>120</v>
      </c>
      <c r="P87" s="82" t="s">
        <v>353</v>
      </c>
      <c r="Q87" s="82" t="s">
        <v>630</v>
      </c>
      <c r="R87" s="82" t="s">
        <v>474</v>
      </c>
      <c r="S87" s="83"/>
      <c r="T87" s="83"/>
      <c r="U87" s="84"/>
      <c r="V87" s="84"/>
      <c r="W87" s="84"/>
      <c r="X87" s="83"/>
      <c r="Y87" s="83"/>
      <c r="Z87" s="83"/>
      <c r="AA87" s="83"/>
      <c r="AB87" s="84"/>
      <c r="AC87" s="84"/>
      <c r="AD87" s="83"/>
      <c r="AE87" s="83"/>
      <c r="AF87" s="82">
        <v>26</v>
      </c>
      <c r="AG87" s="82">
        <v>3</v>
      </c>
      <c r="AH87" s="82">
        <v>0</v>
      </c>
      <c r="AI87" s="82">
        <v>15</v>
      </c>
      <c r="AJ87" s="82">
        <v>0</v>
      </c>
      <c r="AK87" s="82">
        <v>0</v>
      </c>
      <c r="AL87" s="82">
        <v>1</v>
      </c>
      <c r="AM87" s="82">
        <v>1</v>
      </c>
      <c r="AN87" s="82">
        <v>63</v>
      </c>
      <c r="AO87" s="82">
        <v>1</v>
      </c>
      <c r="AP87" s="82">
        <v>120</v>
      </c>
      <c r="AQ87" s="82">
        <v>1</v>
      </c>
      <c r="AR87" s="82">
        <v>0</v>
      </c>
      <c r="AS87" s="82">
        <v>0</v>
      </c>
      <c r="AT87" s="82">
        <v>0</v>
      </c>
      <c r="AU87" s="83" t="s">
        <v>357</v>
      </c>
      <c r="AV87" s="98">
        <f>24*6</f>
        <v>144</v>
      </c>
      <c r="AW87" s="83" t="s">
        <v>372</v>
      </c>
      <c r="AX87" s="99" t="s">
        <v>373</v>
      </c>
      <c r="AY87" s="83" t="s">
        <v>359</v>
      </c>
      <c r="AZ87" s="83" t="s">
        <v>359</v>
      </c>
      <c r="BA87" s="83" t="s">
        <v>359</v>
      </c>
      <c r="BB87" s="83" t="s">
        <v>359</v>
      </c>
      <c r="BC87" s="83" t="s">
        <v>359</v>
      </c>
      <c r="BD87" s="83" t="s">
        <v>359</v>
      </c>
      <c r="BE87" s="83" t="s">
        <v>359</v>
      </c>
      <c r="BF87" s="83" t="s">
        <v>359</v>
      </c>
      <c r="BG87" s="83" t="s">
        <v>359</v>
      </c>
      <c r="BH87" s="83" t="s">
        <v>843</v>
      </c>
      <c r="BI87" s="82" t="s">
        <v>844</v>
      </c>
      <c r="BJ87" s="82"/>
      <c r="BK87" s="74">
        <v>45323.367083333331</v>
      </c>
      <c r="BL87" s="74">
        <v>45308.672314814823</v>
      </c>
      <c r="BM87" s="83" t="s">
        <v>822</v>
      </c>
      <c r="BN87" s="83" t="b">
        <v>0</v>
      </c>
      <c r="BO87" s="89"/>
    </row>
    <row r="88" spans="1:67">
      <c r="A88" s="73">
        <v>100309</v>
      </c>
      <c r="B88" s="82" t="s">
        <v>211</v>
      </c>
      <c r="C88" s="82" t="s">
        <v>209</v>
      </c>
      <c r="D88" s="82" t="s">
        <v>845</v>
      </c>
      <c r="E88" s="82" t="s">
        <v>570</v>
      </c>
      <c r="F88" s="82" t="s">
        <v>544</v>
      </c>
      <c r="G88" s="82" t="s">
        <v>544</v>
      </c>
      <c r="H88" s="82" t="s">
        <v>1956</v>
      </c>
      <c r="I88" s="82" t="s">
        <v>846</v>
      </c>
      <c r="J88" s="82" t="s">
        <v>847</v>
      </c>
      <c r="K88" s="82" t="s">
        <v>370</v>
      </c>
      <c r="L88" s="82">
        <v>120</v>
      </c>
      <c r="M88" s="82" t="s">
        <v>353</v>
      </c>
      <c r="N88" s="82" t="s">
        <v>419</v>
      </c>
      <c r="O88" s="82">
        <v>100</v>
      </c>
      <c r="P88" s="82" t="s">
        <v>353</v>
      </c>
      <c r="Q88" s="82" t="s">
        <v>630</v>
      </c>
      <c r="R88" s="82" t="s">
        <v>371</v>
      </c>
      <c r="S88" s="82"/>
      <c r="T88" s="82"/>
      <c r="U88" s="82"/>
      <c r="V88" s="82"/>
      <c r="W88" s="82"/>
      <c r="X88" s="82"/>
      <c r="Y88" s="82"/>
      <c r="Z88" s="82"/>
      <c r="AA88" s="82"/>
      <c r="AB88" s="82"/>
      <c r="AC88" s="82"/>
      <c r="AD88" s="82"/>
      <c r="AE88" s="82"/>
      <c r="AF88" s="82">
        <v>30</v>
      </c>
      <c r="AG88" s="82">
        <v>6</v>
      </c>
      <c r="AH88" s="82">
        <v>0</v>
      </c>
      <c r="AI88" s="82">
        <v>30</v>
      </c>
      <c r="AJ88" s="82">
        <v>0</v>
      </c>
      <c r="AK88" s="82">
        <v>0</v>
      </c>
      <c r="AL88" s="82">
        <v>2</v>
      </c>
      <c r="AM88" s="82">
        <v>0.36</v>
      </c>
      <c r="AN88" s="82">
        <v>145</v>
      </c>
      <c r="AO88" s="82">
        <v>1</v>
      </c>
      <c r="AP88" s="82">
        <v>110</v>
      </c>
      <c r="AQ88" s="82">
        <v>4</v>
      </c>
      <c r="AR88" s="82">
        <v>0</v>
      </c>
      <c r="AS88" s="82">
        <v>0.12</v>
      </c>
      <c r="AT88" s="82">
        <v>0</v>
      </c>
      <c r="AU88" s="82" t="s">
        <v>502</v>
      </c>
      <c r="AV88" s="101">
        <f>25*6</f>
        <v>150</v>
      </c>
      <c r="AW88" s="82" t="s">
        <v>372</v>
      </c>
      <c r="AX88" s="107" t="b">
        <v>1</v>
      </c>
      <c r="AY88" s="82" t="s">
        <v>359</v>
      </c>
      <c r="AZ88" s="82" t="s">
        <v>359</v>
      </c>
      <c r="BA88" s="82" t="s">
        <v>359</v>
      </c>
      <c r="BB88" s="82" t="s">
        <v>359</v>
      </c>
      <c r="BC88" s="82" t="s">
        <v>359</v>
      </c>
      <c r="BD88" s="82" t="s">
        <v>359</v>
      </c>
      <c r="BE88" s="82" t="s">
        <v>359</v>
      </c>
      <c r="BF88" s="82" t="s">
        <v>359</v>
      </c>
      <c r="BG88" s="82" t="s">
        <v>359</v>
      </c>
      <c r="BH88" s="82" t="s">
        <v>547</v>
      </c>
      <c r="BI88" s="82" t="s">
        <v>656</v>
      </c>
      <c r="BJ88" s="82"/>
      <c r="BK88" s="82" t="s">
        <v>2018</v>
      </c>
      <c r="BL88" s="82" t="s">
        <v>2035</v>
      </c>
      <c r="BM88" s="82" t="s">
        <v>848</v>
      </c>
      <c r="BN88" s="82" t="b">
        <v>1</v>
      </c>
      <c r="BO88" s="89"/>
    </row>
    <row r="89" spans="1:67">
      <c r="A89" s="85">
        <v>100309</v>
      </c>
      <c r="B89" s="83" t="s">
        <v>211</v>
      </c>
      <c r="C89" s="83" t="s">
        <v>209</v>
      </c>
      <c r="D89" s="83" t="s">
        <v>849</v>
      </c>
      <c r="E89" s="89" t="s">
        <v>838</v>
      </c>
      <c r="F89" s="83" t="s">
        <v>839</v>
      </c>
      <c r="G89" s="83" t="s">
        <v>839</v>
      </c>
      <c r="H89" s="83" t="s">
        <v>850</v>
      </c>
      <c r="I89" s="83" t="s">
        <v>851</v>
      </c>
      <c r="J89" s="83" t="s">
        <v>842</v>
      </c>
      <c r="K89" s="83" t="s">
        <v>370</v>
      </c>
      <c r="L89" s="82">
        <v>120</v>
      </c>
      <c r="M89" s="82" t="s">
        <v>353</v>
      </c>
      <c r="N89" s="82" t="s">
        <v>354</v>
      </c>
      <c r="O89" s="82">
        <v>120</v>
      </c>
      <c r="P89" s="82" t="s">
        <v>353</v>
      </c>
      <c r="Q89" s="82" t="s">
        <v>630</v>
      </c>
      <c r="R89" s="82" t="s">
        <v>474</v>
      </c>
      <c r="S89" s="83"/>
      <c r="T89" s="83"/>
      <c r="U89" s="84"/>
      <c r="V89" s="84"/>
      <c r="W89" s="84"/>
      <c r="X89" s="83"/>
      <c r="Y89" s="83"/>
      <c r="Z89" s="83"/>
      <c r="AA89" s="83"/>
      <c r="AB89" s="84"/>
      <c r="AC89" s="84"/>
      <c r="AD89" s="83"/>
      <c r="AE89" s="83"/>
      <c r="AF89" s="82">
        <v>37</v>
      </c>
      <c r="AG89" s="82">
        <v>4</v>
      </c>
      <c r="AH89" s="82">
        <v>0</v>
      </c>
      <c r="AI89" s="82">
        <v>20</v>
      </c>
      <c r="AJ89" s="82">
        <v>0</v>
      </c>
      <c r="AK89" s="82">
        <v>0</v>
      </c>
      <c r="AL89" s="82">
        <v>1</v>
      </c>
      <c r="AM89" s="82">
        <v>0</v>
      </c>
      <c r="AN89" s="82">
        <v>127</v>
      </c>
      <c r="AO89" s="82">
        <v>0</v>
      </c>
      <c r="AP89" s="82">
        <v>120</v>
      </c>
      <c r="AQ89" s="82">
        <v>2</v>
      </c>
      <c r="AR89" s="82">
        <v>0</v>
      </c>
      <c r="AS89" s="82">
        <v>0</v>
      </c>
      <c r="AT89" s="82">
        <v>0</v>
      </c>
      <c r="AU89" s="83" t="s">
        <v>357</v>
      </c>
      <c r="AV89" s="83">
        <f>25*6</f>
        <v>150</v>
      </c>
      <c r="AW89" s="83" t="s">
        <v>372</v>
      </c>
      <c r="AX89" s="83" t="s">
        <v>373</v>
      </c>
      <c r="AY89" s="83" t="s">
        <v>359</v>
      </c>
      <c r="AZ89" s="83" t="s">
        <v>359</v>
      </c>
      <c r="BA89" s="83" t="s">
        <v>359</v>
      </c>
      <c r="BB89" s="83" t="s">
        <v>359</v>
      </c>
      <c r="BC89" s="83" t="s">
        <v>359</v>
      </c>
      <c r="BD89" s="83" t="s">
        <v>359</v>
      </c>
      <c r="BE89" s="83" t="s">
        <v>359</v>
      </c>
      <c r="BF89" s="83" t="s">
        <v>359</v>
      </c>
      <c r="BG89" s="83" t="s">
        <v>359</v>
      </c>
      <c r="BH89" s="83" t="s">
        <v>852</v>
      </c>
      <c r="BI89" s="83"/>
      <c r="BJ89" s="83"/>
      <c r="BK89" s="74">
        <v>45293.434861111113</v>
      </c>
      <c r="BL89" s="74">
        <v>45273.58798611111</v>
      </c>
      <c r="BM89" s="83" t="s">
        <v>853</v>
      </c>
      <c r="BN89" s="83" t="b">
        <v>0</v>
      </c>
      <c r="BO89" s="89"/>
    </row>
    <row r="90" spans="1:67">
      <c r="A90" s="100">
        <v>100313</v>
      </c>
      <c r="B90" s="89" t="s">
        <v>212</v>
      </c>
      <c r="C90" s="89" t="s">
        <v>209</v>
      </c>
      <c r="D90" s="89" t="s">
        <v>854</v>
      </c>
      <c r="E90" s="89" t="s">
        <v>855</v>
      </c>
      <c r="F90" s="89" t="s">
        <v>829</v>
      </c>
      <c r="G90" s="89" t="s">
        <v>829</v>
      </c>
      <c r="H90" s="89" t="s">
        <v>856</v>
      </c>
      <c r="I90" s="89" t="s">
        <v>857</v>
      </c>
      <c r="J90" s="89" t="s">
        <v>858</v>
      </c>
      <c r="K90" s="89" t="s">
        <v>370</v>
      </c>
      <c r="L90" s="89">
        <v>130</v>
      </c>
      <c r="M90" s="89" t="s">
        <v>353</v>
      </c>
      <c r="N90" s="89" t="s">
        <v>354</v>
      </c>
      <c r="O90" s="89"/>
      <c r="P90" s="89"/>
      <c r="Q90" s="89" t="s">
        <v>630</v>
      </c>
      <c r="R90" s="89" t="s">
        <v>564</v>
      </c>
      <c r="S90" s="89"/>
      <c r="T90" s="89"/>
      <c r="U90" s="93"/>
      <c r="V90" s="93"/>
      <c r="W90" s="93"/>
      <c r="X90" s="89"/>
      <c r="Y90" s="89"/>
      <c r="Z90" s="89"/>
      <c r="AA90" s="89"/>
      <c r="AB90" s="93"/>
      <c r="AC90" s="93"/>
      <c r="AD90" s="89"/>
      <c r="AE90" s="89"/>
      <c r="AF90" s="89">
        <v>0</v>
      </c>
      <c r="AG90" s="89">
        <v>14</v>
      </c>
      <c r="AH90" s="89">
        <v>0</v>
      </c>
      <c r="AI90" s="89">
        <v>70</v>
      </c>
      <c r="AJ90" s="89">
        <v>0</v>
      </c>
      <c r="AK90" s="89">
        <v>0</v>
      </c>
      <c r="AL90" s="89">
        <v>2</v>
      </c>
      <c r="AM90" s="89">
        <v>0.4</v>
      </c>
      <c r="AN90" s="89">
        <v>210</v>
      </c>
      <c r="AO90" s="89">
        <v>2</v>
      </c>
      <c r="AP90" s="89">
        <v>15</v>
      </c>
      <c r="AQ90" s="89">
        <v>5</v>
      </c>
      <c r="AR90" s="89">
        <v>0</v>
      </c>
      <c r="AS90" s="89">
        <v>1</v>
      </c>
      <c r="AT90" s="89">
        <v>0</v>
      </c>
      <c r="AU90" s="89"/>
      <c r="AV90" s="89">
        <f>23*6</f>
        <v>138</v>
      </c>
      <c r="AW90" s="89" t="s">
        <v>358</v>
      </c>
      <c r="AX90" s="89"/>
      <c r="AY90" s="89" t="s">
        <v>476</v>
      </c>
      <c r="AZ90" s="89" t="s">
        <v>476</v>
      </c>
      <c r="BA90" s="89" t="s">
        <v>476</v>
      </c>
      <c r="BB90" s="89" t="s">
        <v>476</v>
      </c>
      <c r="BC90" s="89" t="s">
        <v>476</v>
      </c>
      <c r="BD90" s="89" t="s">
        <v>476</v>
      </c>
      <c r="BE90" s="89" t="s">
        <v>476</v>
      </c>
      <c r="BF90" s="89" t="s">
        <v>476</v>
      </c>
      <c r="BG90" s="89" t="s">
        <v>476</v>
      </c>
      <c r="BH90" s="89" t="s">
        <v>547</v>
      </c>
      <c r="BI90" s="89" t="s">
        <v>656</v>
      </c>
      <c r="BJ90" s="89"/>
      <c r="BK90" s="74">
        <v>45078.379074074073</v>
      </c>
      <c r="BL90" s="74">
        <v>45054.396157407413</v>
      </c>
      <c r="BM90" s="89" t="s">
        <v>859</v>
      </c>
      <c r="BN90" s="89" t="b">
        <v>0</v>
      </c>
      <c r="BO90" s="83"/>
    </row>
    <row r="91" spans="1:67">
      <c r="A91" s="100">
        <v>100313</v>
      </c>
      <c r="B91" s="89" t="s">
        <v>212</v>
      </c>
      <c r="C91" s="89" t="s">
        <v>209</v>
      </c>
      <c r="D91" s="89" t="s">
        <v>860</v>
      </c>
      <c r="E91" s="89" t="s">
        <v>838</v>
      </c>
      <c r="F91" s="89" t="s">
        <v>839</v>
      </c>
      <c r="G91" s="89" t="s">
        <v>839</v>
      </c>
      <c r="H91" s="89" t="s">
        <v>861</v>
      </c>
      <c r="I91" s="89" t="s">
        <v>862</v>
      </c>
      <c r="J91" s="89" t="s">
        <v>842</v>
      </c>
      <c r="K91" s="89" t="s">
        <v>370</v>
      </c>
      <c r="L91" s="82">
        <v>125</v>
      </c>
      <c r="M91" s="82" t="s">
        <v>353</v>
      </c>
      <c r="N91" s="82" t="s">
        <v>354</v>
      </c>
      <c r="O91" s="82">
        <v>125</v>
      </c>
      <c r="P91" s="82" t="s">
        <v>353</v>
      </c>
      <c r="Q91" s="82" t="s">
        <v>630</v>
      </c>
      <c r="R91" s="82" t="s">
        <v>474</v>
      </c>
      <c r="S91" s="89"/>
      <c r="T91" s="89"/>
      <c r="U91" s="93"/>
      <c r="V91" s="93"/>
      <c r="W91" s="93"/>
      <c r="X91" s="89"/>
      <c r="Y91" s="89"/>
      <c r="Z91" s="89"/>
      <c r="AA91" s="89"/>
      <c r="AB91" s="93"/>
      <c r="AC91" s="93"/>
      <c r="AD91" s="89"/>
      <c r="AE91" s="89"/>
      <c r="AF91" s="89">
        <v>13</v>
      </c>
      <c r="AG91" s="89">
        <v>9</v>
      </c>
      <c r="AH91" s="89">
        <v>0</v>
      </c>
      <c r="AI91" s="89">
        <v>60</v>
      </c>
      <c r="AJ91" s="89">
        <v>0</v>
      </c>
      <c r="AK91" s="89">
        <v>0</v>
      </c>
      <c r="AL91" s="89">
        <v>1</v>
      </c>
      <c r="AM91" s="89">
        <v>0</v>
      </c>
      <c r="AN91" s="89">
        <v>125</v>
      </c>
      <c r="AO91" s="89">
        <v>1</v>
      </c>
      <c r="AP91" s="89">
        <v>10</v>
      </c>
      <c r="AQ91" s="89">
        <v>2</v>
      </c>
      <c r="AR91" s="89">
        <v>0</v>
      </c>
      <c r="AS91" s="89">
        <v>0.5</v>
      </c>
      <c r="AT91" s="89">
        <v>0</v>
      </c>
      <c r="AU91" s="89" t="s">
        <v>357</v>
      </c>
      <c r="AV91" s="100">
        <v>144</v>
      </c>
      <c r="AW91" s="89" t="s">
        <v>372</v>
      </c>
      <c r="AX91" s="89" t="s">
        <v>373</v>
      </c>
      <c r="AY91" s="89" t="s">
        <v>359</v>
      </c>
      <c r="AZ91" s="89" t="s">
        <v>359</v>
      </c>
      <c r="BA91" s="89" t="s">
        <v>359</v>
      </c>
      <c r="BB91" s="89" t="s">
        <v>359</v>
      </c>
      <c r="BC91" s="89" t="s">
        <v>359</v>
      </c>
      <c r="BD91" s="89" t="s">
        <v>359</v>
      </c>
      <c r="BE91" s="89" t="s">
        <v>359</v>
      </c>
      <c r="BF91" s="89" t="s">
        <v>359</v>
      </c>
      <c r="BG91" s="89" t="s">
        <v>359</v>
      </c>
      <c r="BH91" s="89" t="s">
        <v>852</v>
      </c>
      <c r="BI91" s="89" t="s">
        <v>656</v>
      </c>
      <c r="BJ91" s="89"/>
      <c r="BK91" s="74">
        <v>45293.456122685187</v>
      </c>
      <c r="BL91" s="74">
        <v>45273.58520833333</v>
      </c>
      <c r="BM91" s="89" t="s">
        <v>859</v>
      </c>
      <c r="BN91" s="89" t="b">
        <v>0</v>
      </c>
      <c r="BO91" s="82"/>
    </row>
    <row r="92" spans="1:67">
      <c r="A92" s="100">
        <v>100315</v>
      </c>
      <c r="B92" s="89" t="s">
        <v>213</v>
      </c>
      <c r="C92" s="89" t="s">
        <v>209</v>
      </c>
      <c r="D92" s="89" t="s">
        <v>863</v>
      </c>
      <c r="E92" s="89" t="s">
        <v>828</v>
      </c>
      <c r="F92" s="89" t="s">
        <v>829</v>
      </c>
      <c r="G92" s="89" t="s">
        <v>829</v>
      </c>
      <c r="H92" s="89" t="s">
        <v>864</v>
      </c>
      <c r="I92" s="89" t="s">
        <v>865</v>
      </c>
      <c r="J92" s="89" t="s">
        <v>866</v>
      </c>
      <c r="K92" s="89" t="s">
        <v>370</v>
      </c>
      <c r="L92" s="89">
        <v>130</v>
      </c>
      <c r="M92" s="89" t="s">
        <v>353</v>
      </c>
      <c r="N92" s="89" t="s">
        <v>354</v>
      </c>
      <c r="O92" s="89"/>
      <c r="P92" s="89"/>
      <c r="Q92" s="89" t="s">
        <v>630</v>
      </c>
      <c r="R92" s="89" t="s">
        <v>564</v>
      </c>
      <c r="S92" s="89"/>
      <c r="T92" s="89"/>
      <c r="U92" s="93"/>
      <c r="V92" s="93"/>
      <c r="W92" s="93"/>
      <c r="X92" s="89"/>
      <c r="Y92" s="89"/>
      <c r="Z92" s="89"/>
      <c r="AA92" s="89"/>
      <c r="AB92" s="93"/>
      <c r="AC92" s="93"/>
      <c r="AD92" s="89"/>
      <c r="AE92" s="89"/>
      <c r="AF92" s="89">
        <v>20</v>
      </c>
      <c r="AG92" s="89">
        <v>14</v>
      </c>
      <c r="AH92" s="89">
        <v>0</v>
      </c>
      <c r="AI92" s="89">
        <v>70</v>
      </c>
      <c r="AJ92" s="89">
        <v>0</v>
      </c>
      <c r="AK92" s="89">
        <v>0</v>
      </c>
      <c r="AL92" s="89">
        <v>5</v>
      </c>
      <c r="AM92" s="89">
        <v>1.2</v>
      </c>
      <c r="AN92" s="89">
        <v>190</v>
      </c>
      <c r="AO92" s="89">
        <v>4</v>
      </c>
      <c r="AP92" s="89">
        <v>80</v>
      </c>
      <c r="AQ92" s="89">
        <v>7</v>
      </c>
      <c r="AR92" s="89">
        <v>2</v>
      </c>
      <c r="AS92" s="89">
        <v>0</v>
      </c>
      <c r="AT92" s="89">
        <v>0</v>
      </c>
      <c r="AU92" s="89"/>
      <c r="AV92" s="100">
        <v>138</v>
      </c>
      <c r="AW92" s="89" t="s">
        <v>358</v>
      </c>
      <c r="AX92" s="89" t="s">
        <v>373</v>
      </c>
      <c r="AY92" s="89" t="s">
        <v>476</v>
      </c>
      <c r="AZ92" s="89" t="s">
        <v>476</v>
      </c>
      <c r="BA92" s="89" t="s">
        <v>476</v>
      </c>
      <c r="BB92" s="89" t="s">
        <v>476</v>
      </c>
      <c r="BC92" s="89" t="s">
        <v>476</v>
      </c>
      <c r="BD92" s="89" t="s">
        <v>476</v>
      </c>
      <c r="BE92" s="89" t="s">
        <v>476</v>
      </c>
      <c r="BF92" s="89" t="s">
        <v>476</v>
      </c>
      <c r="BG92" s="89" t="s">
        <v>476</v>
      </c>
      <c r="BH92" s="89" t="s">
        <v>867</v>
      </c>
      <c r="BI92" s="89" t="s">
        <v>868</v>
      </c>
      <c r="BJ92" s="89"/>
      <c r="BK92" s="74">
        <v>44823.230983796297</v>
      </c>
      <c r="BL92" s="74">
        <v>44704.613726851851</v>
      </c>
      <c r="BM92" s="89" t="s">
        <v>869</v>
      </c>
      <c r="BN92" s="89" t="b">
        <v>0</v>
      </c>
      <c r="BO92" s="83"/>
    </row>
    <row r="93" spans="1:67">
      <c r="A93" s="73">
        <v>100315</v>
      </c>
      <c r="B93" s="82" t="s">
        <v>213</v>
      </c>
      <c r="C93" s="82" t="s">
        <v>209</v>
      </c>
      <c r="D93" s="89" t="s">
        <v>870</v>
      </c>
      <c r="E93" s="82" t="s">
        <v>570</v>
      </c>
      <c r="F93" s="82" t="s">
        <v>544</v>
      </c>
      <c r="G93" s="82" t="s">
        <v>544</v>
      </c>
      <c r="H93" s="82" t="s">
        <v>1957</v>
      </c>
      <c r="I93" s="82" t="s">
        <v>871</v>
      </c>
      <c r="J93" s="82" t="s">
        <v>872</v>
      </c>
      <c r="K93" s="82" t="s">
        <v>370</v>
      </c>
      <c r="L93" s="82">
        <v>125</v>
      </c>
      <c r="M93" s="82">
        <v>125</v>
      </c>
      <c r="N93" s="82" t="s">
        <v>419</v>
      </c>
      <c r="O93" s="82">
        <v>100</v>
      </c>
      <c r="P93" s="82" t="s">
        <v>353</v>
      </c>
      <c r="Q93" s="82" t="s">
        <v>630</v>
      </c>
      <c r="R93" s="82" t="s">
        <v>474</v>
      </c>
      <c r="S93" s="82"/>
      <c r="T93" s="82"/>
      <c r="U93" s="82"/>
      <c r="V93" s="82"/>
      <c r="W93" s="82"/>
      <c r="X93" s="82"/>
      <c r="Y93" s="82"/>
      <c r="Z93" s="82"/>
      <c r="AA93" s="82"/>
      <c r="AB93" s="82"/>
      <c r="AC93" s="82"/>
      <c r="AD93" s="82"/>
      <c r="AE93" s="82"/>
      <c r="AF93" s="82">
        <v>31</v>
      </c>
      <c r="AG93" s="82">
        <v>15</v>
      </c>
      <c r="AH93" s="82">
        <v>0</v>
      </c>
      <c r="AI93" s="82">
        <v>88</v>
      </c>
      <c r="AJ93" s="82">
        <v>0</v>
      </c>
      <c r="AK93" s="82">
        <v>0</v>
      </c>
      <c r="AL93" s="82">
        <v>3.8</v>
      </c>
      <c r="AM93" s="82">
        <v>1.75</v>
      </c>
      <c r="AN93" s="82">
        <v>125</v>
      </c>
      <c r="AO93" s="82">
        <v>5</v>
      </c>
      <c r="AP93" s="82">
        <v>175</v>
      </c>
      <c r="AQ93" s="82">
        <v>7.5</v>
      </c>
      <c r="AR93" s="82">
        <v>2.5</v>
      </c>
      <c r="AS93" s="82">
        <v>0.62</v>
      </c>
      <c r="AT93" s="82">
        <v>0</v>
      </c>
      <c r="AU93" s="82" t="s">
        <v>502</v>
      </c>
      <c r="AV93" s="101">
        <f>24*6</f>
        <v>144</v>
      </c>
      <c r="AW93" s="82" t="s">
        <v>372</v>
      </c>
      <c r="AX93" s="107" t="b">
        <v>1</v>
      </c>
      <c r="AY93" s="82" t="s">
        <v>359</v>
      </c>
      <c r="AZ93" s="82" t="s">
        <v>359</v>
      </c>
      <c r="BA93" s="82" t="s">
        <v>359</v>
      </c>
      <c r="BB93" s="82" t="s">
        <v>359</v>
      </c>
      <c r="BC93" s="82" t="s">
        <v>359</v>
      </c>
      <c r="BD93" s="82" t="s">
        <v>359</v>
      </c>
      <c r="BE93" s="82" t="s">
        <v>359</v>
      </c>
      <c r="BF93" s="82" t="s">
        <v>359</v>
      </c>
      <c r="BG93" s="82" t="s">
        <v>359</v>
      </c>
      <c r="BH93" s="82" t="s">
        <v>547</v>
      </c>
      <c r="BI93" s="82" t="s">
        <v>656</v>
      </c>
      <c r="BJ93" s="82"/>
      <c r="BK93" s="82" t="s">
        <v>1909</v>
      </c>
      <c r="BL93" s="82" t="s">
        <v>1958</v>
      </c>
      <c r="BM93" s="82" t="s">
        <v>873</v>
      </c>
      <c r="BN93" s="82" t="b">
        <v>1</v>
      </c>
      <c r="BO93" s="83"/>
    </row>
    <row r="94" spans="1:67">
      <c r="A94" s="100">
        <v>100315</v>
      </c>
      <c r="B94" s="89" t="s">
        <v>213</v>
      </c>
      <c r="C94" s="89" t="s">
        <v>209</v>
      </c>
      <c r="D94" s="89" t="s">
        <v>874</v>
      </c>
      <c r="E94" s="89" t="s">
        <v>838</v>
      </c>
      <c r="F94" s="89" t="s">
        <v>839</v>
      </c>
      <c r="G94" s="89" t="s">
        <v>839</v>
      </c>
      <c r="H94" s="89" t="s">
        <v>875</v>
      </c>
      <c r="I94" s="89" t="s">
        <v>876</v>
      </c>
      <c r="J94" s="89" t="s">
        <v>842</v>
      </c>
      <c r="K94" s="89" t="s">
        <v>370</v>
      </c>
      <c r="L94" s="82">
        <v>125</v>
      </c>
      <c r="M94" s="82" t="s">
        <v>353</v>
      </c>
      <c r="N94" s="82" t="s">
        <v>354</v>
      </c>
      <c r="O94" s="82">
        <v>125</v>
      </c>
      <c r="P94" s="82" t="s">
        <v>353</v>
      </c>
      <c r="Q94" s="82" t="s">
        <v>630</v>
      </c>
      <c r="R94" s="82" t="s">
        <v>474</v>
      </c>
      <c r="S94" s="89"/>
      <c r="T94" s="89"/>
      <c r="U94" s="93"/>
      <c r="V94" s="93"/>
      <c r="W94" s="93"/>
      <c r="X94" s="89"/>
      <c r="Y94" s="89"/>
      <c r="Z94" s="89"/>
      <c r="AA94" s="89"/>
      <c r="AB94" s="93"/>
      <c r="AC94" s="93"/>
      <c r="AD94" s="89"/>
      <c r="AE94" s="89"/>
      <c r="AF94" s="89">
        <v>17</v>
      </c>
      <c r="AG94" s="89">
        <v>11</v>
      </c>
      <c r="AH94" s="89">
        <v>0</v>
      </c>
      <c r="AI94" s="89">
        <v>60</v>
      </c>
      <c r="AJ94" s="89">
        <v>0</v>
      </c>
      <c r="AK94" s="89">
        <v>0</v>
      </c>
      <c r="AL94" s="89">
        <v>3</v>
      </c>
      <c r="AM94" s="89">
        <v>1</v>
      </c>
      <c r="AN94" s="89">
        <v>133</v>
      </c>
      <c r="AO94" s="89">
        <v>3</v>
      </c>
      <c r="AP94" s="89">
        <v>130</v>
      </c>
      <c r="AQ94" s="89">
        <v>5</v>
      </c>
      <c r="AR94" s="89">
        <v>2</v>
      </c>
      <c r="AS94" s="89">
        <v>0</v>
      </c>
      <c r="AT94" s="89">
        <v>0</v>
      </c>
      <c r="AU94" s="89" t="s">
        <v>357</v>
      </c>
      <c r="AV94" s="89">
        <f>24*6</f>
        <v>144</v>
      </c>
      <c r="AW94" s="89" t="s">
        <v>372</v>
      </c>
      <c r="AX94" s="89" t="s">
        <v>373</v>
      </c>
      <c r="AY94" s="89" t="s">
        <v>359</v>
      </c>
      <c r="AZ94" s="89" t="s">
        <v>359</v>
      </c>
      <c r="BA94" s="89" t="s">
        <v>359</v>
      </c>
      <c r="BB94" s="89" t="s">
        <v>359</v>
      </c>
      <c r="BC94" s="89" t="s">
        <v>359</v>
      </c>
      <c r="BD94" s="89" t="s">
        <v>359</v>
      </c>
      <c r="BE94" s="89" t="s">
        <v>359</v>
      </c>
      <c r="BF94" s="89" t="s">
        <v>359</v>
      </c>
      <c r="BG94" s="89" t="s">
        <v>359</v>
      </c>
      <c r="BH94" s="89" t="s">
        <v>852</v>
      </c>
      <c r="BI94" s="89" t="s">
        <v>656</v>
      </c>
      <c r="BJ94" s="89"/>
      <c r="BK94" s="74">
        <v>45293.445706018523</v>
      </c>
      <c r="BL94" s="74">
        <v>45273.367789351847</v>
      </c>
      <c r="BM94" s="89" t="s">
        <v>877</v>
      </c>
      <c r="BN94" s="89" t="b">
        <v>0</v>
      </c>
      <c r="BO94" s="89"/>
    </row>
    <row r="95" spans="1:67">
      <c r="A95" s="100">
        <v>100317</v>
      </c>
      <c r="B95" s="89" t="s">
        <v>214</v>
      </c>
      <c r="C95" s="89" t="s">
        <v>209</v>
      </c>
      <c r="D95" s="89" t="s">
        <v>878</v>
      </c>
      <c r="E95" s="89" t="s">
        <v>879</v>
      </c>
      <c r="F95" s="89" t="s">
        <v>880</v>
      </c>
      <c r="G95" s="89" t="s">
        <v>881</v>
      </c>
      <c r="H95" s="89" t="s">
        <v>882</v>
      </c>
      <c r="I95" s="89" t="s">
        <v>883</v>
      </c>
      <c r="J95" s="89" t="s">
        <v>883</v>
      </c>
      <c r="K95" s="89" t="s">
        <v>884</v>
      </c>
      <c r="L95" s="104">
        <v>160</v>
      </c>
      <c r="M95" s="89" t="s">
        <v>353</v>
      </c>
      <c r="N95" s="89" t="s">
        <v>354</v>
      </c>
      <c r="O95" s="104">
        <v>160</v>
      </c>
      <c r="P95" s="89" t="s">
        <v>353</v>
      </c>
      <c r="Q95" s="89" t="s">
        <v>885</v>
      </c>
      <c r="R95" s="89" t="s">
        <v>564</v>
      </c>
      <c r="S95" s="89"/>
      <c r="T95" s="89"/>
      <c r="U95" s="93"/>
      <c r="V95" s="93"/>
      <c r="W95" s="93"/>
      <c r="X95" s="89"/>
      <c r="Y95" s="89"/>
      <c r="Z95" s="89"/>
      <c r="AA95" s="89"/>
      <c r="AB95" s="93"/>
      <c r="AC95" s="93"/>
      <c r="AD95" s="89"/>
      <c r="AE95" s="89"/>
      <c r="AF95" s="89">
        <v>16</v>
      </c>
      <c r="AG95" s="89">
        <v>34</v>
      </c>
      <c r="AH95" s="89">
        <v>0</v>
      </c>
      <c r="AI95" s="89">
        <v>130</v>
      </c>
      <c r="AJ95" s="89">
        <v>0</v>
      </c>
      <c r="AK95" s="89">
        <v>0</v>
      </c>
      <c r="AL95" s="89">
        <v>4</v>
      </c>
      <c r="AM95" s="89">
        <v>0</v>
      </c>
      <c r="AN95" s="89">
        <v>366</v>
      </c>
      <c r="AO95" s="89">
        <v>0</v>
      </c>
      <c r="AP95" s="89">
        <v>5</v>
      </c>
      <c r="AQ95" s="89">
        <v>22</v>
      </c>
      <c r="AR95" s="89">
        <v>11</v>
      </c>
      <c r="AS95" s="89">
        <v>0</v>
      </c>
      <c r="AT95" s="89">
        <v>0</v>
      </c>
      <c r="AU95" s="89"/>
      <c r="AV95" s="104">
        <v>114</v>
      </c>
      <c r="AW95" s="89" t="s">
        <v>358</v>
      </c>
      <c r="AX95" s="106" t="s">
        <v>373</v>
      </c>
      <c r="AY95" s="89" t="s">
        <v>359</v>
      </c>
      <c r="AZ95" s="89" t="s">
        <v>359</v>
      </c>
      <c r="BA95" s="89" t="s">
        <v>359</v>
      </c>
      <c r="BB95" s="89" t="s">
        <v>359</v>
      </c>
      <c r="BC95" s="89" t="s">
        <v>359</v>
      </c>
      <c r="BD95" s="89" t="s">
        <v>359</v>
      </c>
      <c r="BE95" s="89" t="s">
        <v>359</v>
      </c>
      <c r="BF95" s="89" t="s">
        <v>359</v>
      </c>
      <c r="BG95" s="89" t="s">
        <v>359</v>
      </c>
      <c r="BH95" s="89" t="s">
        <v>886</v>
      </c>
      <c r="BI95" s="89" t="s">
        <v>887</v>
      </c>
      <c r="BJ95" s="89"/>
      <c r="BK95" s="74">
        <v>45323.384444444448</v>
      </c>
      <c r="BL95" s="74">
        <v>45310.638506944437</v>
      </c>
      <c r="BM95" s="89" t="s">
        <v>888</v>
      </c>
      <c r="BN95" s="89" t="b">
        <v>0</v>
      </c>
      <c r="BO95" s="83"/>
    </row>
    <row r="96" spans="1:67">
      <c r="A96" s="85">
        <v>100327</v>
      </c>
      <c r="B96" s="83" t="s">
        <v>215</v>
      </c>
      <c r="C96" s="83" t="s">
        <v>209</v>
      </c>
      <c r="D96" s="83" t="s">
        <v>889</v>
      </c>
      <c r="E96" s="83" t="s">
        <v>662</v>
      </c>
      <c r="F96" s="86" t="s">
        <v>663</v>
      </c>
      <c r="G96" s="86" t="s">
        <v>663</v>
      </c>
      <c r="H96" s="83"/>
      <c r="I96" s="83" t="s">
        <v>890</v>
      </c>
      <c r="J96" s="83" t="s">
        <v>891</v>
      </c>
      <c r="K96" s="83" t="s">
        <v>370</v>
      </c>
      <c r="L96" s="83">
        <v>33</v>
      </c>
      <c r="M96" s="83" t="s">
        <v>353</v>
      </c>
      <c r="N96" s="83" t="s">
        <v>419</v>
      </c>
      <c r="O96" s="82">
        <v>33</v>
      </c>
      <c r="P96" s="82" t="s">
        <v>353</v>
      </c>
      <c r="Q96" s="82" t="s">
        <v>892</v>
      </c>
      <c r="R96" s="83" t="s">
        <v>643</v>
      </c>
      <c r="S96" s="83"/>
      <c r="T96" s="83"/>
      <c r="U96" s="84"/>
      <c r="V96" s="84"/>
      <c r="W96" s="84"/>
      <c r="X96" s="83"/>
      <c r="Y96" s="83"/>
      <c r="Z96" s="83"/>
      <c r="AA96" s="83"/>
      <c r="AB96" s="84"/>
      <c r="AC96" s="84"/>
      <c r="AD96" s="83"/>
      <c r="AE96" s="83"/>
      <c r="AF96" s="82">
        <v>0</v>
      </c>
      <c r="AG96" s="82">
        <v>6</v>
      </c>
      <c r="AH96" s="82">
        <v>0</v>
      </c>
      <c r="AI96" s="82">
        <v>30</v>
      </c>
      <c r="AJ96" s="82">
        <v>0</v>
      </c>
      <c r="AK96" s="82">
        <v>0</v>
      </c>
      <c r="AL96" s="82">
        <v>1</v>
      </c>
      <c r="AM96" s="82">
        <v>0</v>
      </c>
      <c r="AN96" s="82">
        <v>270</v>
      </c>
      <c r="AO96" s="82">
        <v>1</v>
      </c>
      <c r="AP96" s="82">
        <v>20</v>
      </c>
      <c r="AQ96" s="82">
        <v>4</v>
      </c>
      <c r="AR96" s="82">
        <v>0</v>
      </c>
      <c r="AS96" s="82">
        <v>0</v>
      </c>
      <c r="AT96" s="82">
        <v>0</v>
      </c>
      <c r="AU96" s="83"/>
      <c r="AV96" s="83">
        <f>95*6</f>
        <v>570</v>
      </c>
      <c r="AW96" s="83" t="s">
        <v>372</v>
      </c>
      <c r="AX96" s="83" t="s">
        <v>373</v>
      </c>
      <c r="AY96" s="83" t="s">
        <v>359</v>
      </c>
      <c r="AZ96" s="83" t="s">
        <v>359</v>
      </c>
      <c r="BA96" s="83" t="s">
        <v>359</v>
      </c>
      <c r="BB96" s="83" t="s">
        <v>359</v>
      </c>
      <c r="BC96" s="83" t="s">
        <v>359</v>
      </c>
      <c r="BD96" s="83" t="s">
        <v>359</v>
      </c>
      <c r="BE96" s="83" t="s">
        <v>359</v>
      </c>
      <c r="BF96" s="83" t="s">
        <v>359</v>
      </c>
      <c r="BG96" s="83" t="s">
        <v>359</v>
      </c>
      <c r="BH96" s="83" t="s">
        <v>711</v>
      </c>
      <c r="BI96" s="83"/>
      <c r="BJ96" s="83"/>
      <c r="BK96" s="88">
        <v>44823.235821759263</v>
      </c>
      <c r="BL96" s="74">
        <v>45156.781342592592</v>
      </c>
      <c r="BM96" s="82" t="s">
        <v>893</v>
      </c>
      <c r="BN96" s="82" t="b">
        <v>0</v>
      </c>
      <c r="BO96" s="83"/>
    </row>
    <row r="97" spans="1:67">
      <c r="A97" s="85">
        <v>100327</v>
      </c>
      <c r="B97" s="83" t="s">
        <v>215</v>
      </c>
      <c r="C97" s="83" t="s">
        <v>209</v>
      </c>
      <c r="D97" s="83" t="s">
        <v>894</v>
      </c>
      <c r="E97" s="83" t="s">
        <v>895</v>
      </c>
      <c r="F97" s="82" t="s">
        <v>698</v>
      </c>
      <c r="G97" s="82" t="s">
        <v>699</v>
      </c>
      <c r="H97" s="82" t="s">
        <v>1959</v>
      </c>
      <c r="I97" s="82" t="s">
        <v>896</v>
      </c>
      <c r="J97" s="82" t="s">
        <v>896</v>
      </c>
      <c r="K97" s="82" t="s">
        <v>370</v>
      </c>
      <c r="L97" s="82">
        <v>30</v>
      </c>
      <c r="M97" s="82" t="s">
        <v>353</v>
      </c>
      <c r="N97" s="82" t="s">
        <v>354</v>
      </c>
      <c r="O97" s="82"/>
      <c r="P97" s="82"/>
      <c r="Q97" s="82" t="s">
        <v>892</v>
      </c>
      <c r="R97" s="82" t="s">
        <v>371</v>
      </c>
      <c r="S97" s="82"/>
      <c r="T97" s="83"/>
      <c r="U97" s="84"/>
      <c r="V97" s="84"/>
      <c r="W97" s="84"/>
      <c r="X97" s="83"/>
      <c r="Y97" s="83"/>
      <c r="Z97" s="83"/>
      <c r="AA97" s="83"/>
      <c r="AB97" s="84"/>
      <c r="AC97" s="84"/>
      <c r="AD97" s="83"/>
      <c r="AE97" s="83"/>
      <c r="AF97" s="82">
        <v>11</v>
      </c>
      <c r="AG97" s="82">
        <v>6</v>
      </c>
      <c r="AH97" s="82">
        <v>0</v>
      </c>
      <c r="AI97" s="82">
        <v>25</v>
      </c>
      <c r="AJ97" s="82">
        <v>0</v>
      </c>
      <c r="AK97" s="82">
        <v>0</v>
      </c>
      <c r="AL97" s="82">
        <v>1</v>
      </c>
      <c r="AM97" s="82">
        <v>1</v>
      </c>
      <c r="AN97" s="82">
        <v>304</v>
      </c>
      <c r="AO97" s="82">
        <v>1</v>
      </c>
      <c r="AP97" s="82">
        <v>20</v>
      </c>
      <c r="AQ97" s="82">
        <v>4</v>
      </c>
      <c r="AR97" s="82">
        <v>0</v>
      </c>
      <c r="AS97" s="82">
        <v>0</v>
      </c>
      <c r="AT97" s="82">
        <v>0</v>
      </c>
      <c r="AU97" s="82" t="s">
        <v>357</v>
      </c>
      <c r="AV97" s="82">
        <v>630</v>
      </c>
      <c r="AW97" s="82" t="s">
        <v>358</v>
      </c>
      <c r="AX97" s="73" t="b">
        <v>1</v>
      </c>
      <c r="AY97" s="83" t="s">
        <v>359</v>
      </c>
      <c r="AZ97" s="83" t="s">
        <v>359</v>
      </c>
      <c r="BA97" s="83" t="s">
        <v>359</v>
      </c>
      <c r="BB97" s="83" t="s">
        <v>359</v>
      </c>
      <c r="BC97" s="83" t="s">
        <v>359</v>
      </c>
      <c r="BD97" s="83" t="s">
        <v>359</v>
      </c>
      <c r="BE97" s="83" t="s">
        <v>359</v>
      </c>
      <c r="BF97" s="83" t="s">
        <v>359</v>
      </c>
      <c r="BG97" s="83" t="s">
        <v>359</v>
      </c>
      <c r="BH97" s="82" t="s">
        <v>702</v>
      </c>
      <c r="BI97" s="82" t="s">
        <v>656</v>
      </c>
      <c r="BJ97" s="82"/>
      <c r="BK97" s="82" t="s">
        <v>1990</v>
      </c>
      <c r="BL97" s="82" t="s">
        <v>2001</v>
      </c>
      <c r="BM97" s="82" t="s">
        <v>897</v>
      </c>
      <c r="BN97" s="82" t="b">
        <v>0</v>
      </c>
      <c r="BO97" s="83"/>
    </row>
    <row r="98" spans="1:67">
      <c r="A98" s="100">
        <v>100329</v>
      </c>
      <c r="B98" s="89" t="s">
        <v>216</v>
      </c>
      <c r="C98" s="89" t="s">
        <v>209</v>
      </c>
      <c r="D98" s="89" t="s">
        <v>898</v>
      </c>
      <c r="E98" s="89" t="s">
        <v>647</v>
      </c>
      <c r="F98" s="89" t="s">
        <v>647</v>
      </c>
      <c r="G98" s="89" t="s">
        <v>648</v>
      </c>
      <c r="H98" s="89" t="s">
        <v>899</v>
      </c>
      <c r="I98" s="89" t="s">
        <v>900</v>
      </c>
      <c r="J98" s="89" t="s">
        <v>901</v>
      </c>
      <c r="K98" s="89"/>
      <c r="L98" s="89">
        <v>126</v>
      </c>
      <c r="M98" s="89" t="s">
        <v>353</v>
      </c>
      <c r="N98" s="89" t="s">
        <v>354</v>
      </c>
      <c r="O98" s="89">
        <v>126</v>
      </c>
      <c r="P98" s="89" t="s">
        <v>353</v>
      </c>
      <c r="Q98" s="89" t="s">
        <v>630</v>
      </c>
      <c r="R98" s="89" t="s">
        <v>371</v>
      </c>
      <c r="S98" s="89"/>
      <c r="T98" s="89"/>
      <c r="U98" s="93"/>
      <c r="V98" s="93"/>
      <c r="W98" s="93"/>
      <c r="X98" s="89"/>
      <c r="Y98" s="89"/>
      <c r="Z98" s="89"/>
      <c r="AA98" s="89"/>
      <c r="AB98" s="93"/>
      <c r="AC98" s="93"/>
      <c r="AD98" s="89"/>
      <c r="AE98" s="89"/>
      <c r="AF98" s="89">
        <v>42</v>
      </c>
      <c r="AG98" s="89">
        <v>6</v>
      </c>
      <c r="AH98" s="89">
        <v>0</v>
      </c>
      <c r="AI98" s="89">
        <v>30</v>
      </c>
      <c r="AJ98" s="89">
        <v>0</v>
      </c>
      <c r="AK98" s="89">
        <v>0</v>
      </c>
      <c r="AL98" s="89">
        <v>1</v>
      </c>
      <c r="AM98" s="89">
        <v>1</v>
      </c>
      <c r="AN98" s="89">
        <v>261</v>
      </c>
      <c r="AO98" s="89">
        <v>0</v>
      </c>
      <c r="AP98" s="89">
        <v>15</v>
      </c>
      <c r="AQ98" s="89">
        <v>3</v>
      </c>
      <c r="AR98" s="89">
        <v>0</v>
      </c>
      <c r="AS98" s="89">
        <v>0</v>
      </c>
      <c r="AT98" s="89">
        <v>0</v>
      </c>
      <c r="AU98" s="89" t="s">
        <v>357</v>
      </c>
      <c r="AV98" s="100">
        <v>144</v>
      </c>
      <c r="AW98" s="89" t="s">
        <v>372</v>
      </c>
      <c r="AX98" s="89"/>
      <c r="AY98" s="89" t="s">
        <v>359</v>
      </c>
      <c r="AZ98" s="89" t="s">
        <v>359</v>
      </c>
      <c r="BA98" s="89" t="s">
        <v>359</v>
      </c>
      <c r="BB98" s="89" t="s">
        <v>359</v>
      </c>
      <c r="BC98" s="89" t="s">
        <v>359</v>
      </c>
      <c r="BD98" s="82" t="s">
        <v>476</v>
      </c>
      <c r="BE98" s="82" t="s">
        <v>359</v>
      </c>
      <c r="BF98" s="82" t="s">
        <v>359</v>
      </c>
      <c r="BG98" s="82" t="s">
        <v>359</v>
      </c>
      <c r="BH98" s="82" t="s">
        <v>651</v>
      </c>
      <c r="BI98" s="89" t="s">
        <v>652</v>
      </c>
      <c r="BJ98" s="83"/>
      <c r="BK98" s="74">
        <v>45170.371736111112</v>
      </c>
      <c r="BL98" s="74">
        <v>45153.70721064815</v>
      </c>
      <c r="BM98" s="89" t="s">
        <v>902</v>
      </c>
      <c r="BN98" s="89" t="b">
        <v>0</v>
      </c>
      <c r="BO98" s="83"/>
    </row>
    <row r="99" spans="1:67" ht="57.6">
      <c r="A99" s="100">
        <v>100329</v>
      </c>
      <c r="B99" s="89" t="s">
        <v>216</v>
      </c>
      <c r="C99" s="89" t="s">
        <v>209</v>
      </c>
      <c r="D99" s="89" t="s">
        <v>903</v>
      </c>
      <c r="E99" s="82" t="s">
        <v>904</v>
      </c>
      <c r="F99" s="89" t="s">
        <v>905</v>
      </c>
      <c r="G99" s="89" t="s">
        <v>906</v>
      </c>
      <c r="H99" s="82" t="s">
        <v>1960</v>
      </c>
      <c r="I99" s="82" t="s">
        <v>1898</v>
      </c>
      <c r="J99" s="89" t="s">
        <v>907</v>
      </c>
      <c r="K99" s="89" t="s">
        <v>908</v>
      </c>
      <c r="L99" s="89">
        <v>121</v>
      </c>
      <c r="M99" s="89" t="s">
        <v>353</v>
      </c>
      <c r="N99" s="89" t="s">
        <v>354</v>
      </c>
      <c r="O99" s="89">
        <v>121</v>
      </c>
      <c r="P99" s="89" t="s">
        <v>353</v>
      </c>
      <c r="Q99" s="89" t="s">
        <v>630</v>
      </c>
      <c r="R99" s="89" t="s">
        <v>474</v>
      </c>
      <c r="S99" s="89"/>
      <c r="T99" s="89"/>
      <c r="U99" s="93"/>
      <c r="V99" s="93"/>
      <c r="W99" s="93"/>
      <c r="X99" s="89"/>
      <c r="Y99" s="89"/>
      <c r="Z99" s="89"/>
      <c r="AA99" s="89" t="s">
        <v>909</v>
      </c>
      <c r="AB99" s="93" t="s">
        <v>910</v>
      </c>
      <c r="AC99" s="82" t="s">
        <v>1961</v>
      </c>
      <c r="AD99" s="89" t="s">
        <v>911</v>
      </c>
      <c r="AE99" s="89"/>
      <c r="AF99" s="89">
        <v>0</v>
      </c>
      <c r="AG99" s="89">
        <v>5</v>
      </c>
      <c r="AH99" s="89">
        <v>0</v>
      </c>
      <c r="AI99" s="89">
        <v>25</v>
      </c>
      <c r="AJ99" s="89">
        <v>0</v>
      </c>
      <c r="AK99" s="89">
        <v>0</v>
      </c>
      <c r="AL99" s="89">
        <v>1</v>
      </c>
      <c r="AM99" s="89">
        <v>0</v>
      </c>
      <c r="AN99" s="89">
        <v>230</v>
      </c>
      <c r="AO99" s="89">
        <v>1</v>
      </c>
      <c r="AP99" s="89">
        <v>15</v>
      </c>
      <c r="AQ99" s="89">
        <v>3</v>
      </c>
      <c r="AR99" s="89">
        <v>0</v>
      </c>
      <c r="AS99" s="89">
        <v>0</v>
      </c>
      <c r="AT99" s="89">
        <v>0</v>
      </c>
      <c r="AU99" s="89" t="s">
        <v>357</v>
      </c>
      <c r="AV99" s="104">
        <f>24*6</f>
        <v>144</v>
      </c>
      <c r="AW99" s="89" t="s">
        <v>372</v>
      </c>
      <c r="AX99" s="106" t="s">
        <v>373</v>
      </c>
      <c r="AY99" s="89" t="s">
        <v>359</v>
      </c>
      <c r="AZ99" s="89" t="s">
        <v>359</v>
      </c>
      <c r="BA99" s="89" t="s">
        <v>359</v>
      </c>
      <c r="BB99" s="89" t="s">
        <v>359</v>
      </c>
      <c r="BC99" s="89" t="s">
        <v>359</v>
      </c>
      <c r="BD99" s="89" t="s">
        <v>359</v>
      </c>
      <c r="BE99" s="89" t="s">
        <v>359</v>
      </c>
      <c r="BF99" s="89" t="s">
        <v>359</v>
      </c>
      <c r="BG99" s="89" t="s">
        <v>359</v>
      </c>
      <c r="BH99" s="89" t="s">
        <v>912</v>
      </c>
      <c r="BI99" s="89" t="s">
        <v>656</v>
      </c>
      <c r="BJ99" s="89"/>
      <c r="BK99" s="82" t="s">
        <v>2018</v>
      </c>
      <c r="BL99" s="82" t="s">
        <v>2036</v>
      </c>
      <c r="BM99" s="82" t="s">
        <v>1962</v>
      </c>
      <c r="BN99" s="82" t="b">
        <v>0</v>
      </c>
      <c r="BO99" s="86"/>
    </row>
    <row r="100" spans="1:67">
      <c r="A100" s="85">
        <v>100329</v>
      </c>
      <c r="B100" s="83" t="s">
        <v>216</v>
      </c>
      <c r="C100" s="83" t="s">
        <v>209</v>
      </c>
      <c r="D100" s="83" t="s">
        <v>913</v>
      </c>
      <c r="E100" s="83" t="s">
        <v>895</v>
      </c>
      <c r="F100" s="82" t="s">
        <v>698</v>
      </c>
      <c r="G100" s="82" t="s">
        <v>699</v>
      </c>
      <c r="H100" s="82" t="s">
        <v>1963</v>
      </c>
      <c r="I100" s="82" t="s">
        <v>914</v>
      </c>
      <c r="J100" s="82" t="s">
        <v>915</v>
      </c>
      <c r="K100" s="82" t="s">
        <v>370</v>
      </c>
      <c r="L100" s="82">
        <v>130</v>
      </c>
      <c r="M100" s="82" t="s">
        <v>353</v>
      </c>
      <c r="N100" s="82" t="s">
        <v>354</v>
      </c>
      <c r="O100" s="82"/>
      <c r="P100" s="82"/>
      <c r="Q100" s="82" t="s">
        <v>630</v>
      </c>
      <c r="R100" s="82" t="s">
        <v>371</v>
      </c>
      <c r="S100" s="82"/>
      <c r="T100" s="83"/>
      <c r="U100" s="84"/>
      <c r="V100" s="84"/>
      <c r="W100" s="84"/>
      <c r="X100" s="83"/>
      <c r="Y100" s="83"/>
      <c r="Z100" s="83"/>
      <c r="AA100" s="83"/>
      <c r="AB100" s="84"/>
      <c r="AC100" s="84"/>
      <c r="AD100" s="83"/>
      <c r="AE100" s="83"/>
      <c r="AF100" s="82">
        <v>27</v>
      </c>
      <c r="AG100" s="82">
        <v>5</v>
      </c>
      <c r="AH100" s="82">
        <v>0</v>
      </c>
      <c r="AI100" s="82">
        <v>25</v>
      </c>
      <c r="AJ100" s="82">
        <v>0</v>
      </c>
      <c r="AK100" s="82">
        <v>0</v>
      </c>
      <c r="AL100" s="82">
        <v>1</v>
      </c>
      <c r="AM100" s="82">
        <v>0</v>
      </c>
      <c r="AN100" s="82">
        <v>302</v>
      </c>
      <c r="AO100" s="82">
        <v>1</v>
      </c>
      <c r="AP100" s="82">
        <v>10</v>
      </c>
      <c r="AQ100" s="82">
        <v>3</v>
      </c>
      <c r="AR100" s="82">
        <v>0</v>
      </c>
      <c r="AS100" s="82">
        <v>0</v>
      </c>
      <c r="AT100" s="82">
        <v>0</v>
      </c>
      <c r="AU100" s="82" t="s">
        <v>357</v>
      </c>
      <c r="AV100" s="82">
        <v>132</v>
      </c>
      <c r="AW100" s="82" t="s">
        <v>358</v>
      </c>
      <c r="AX100" s="73" t="b">
        <v>1</v>
      </c>
      <c r="AY100" s="83" t="s">
        <v>359</v>
      </c>
      <c r="AZ100" s="83" t="s">
        <v>359</v>
      </c>
      <c r="BA100" s="83" t="s">
        <v>359</v>
      </c>
      <c r="BB100" s="83" t="s">
        <v>359</v>
      </c>
      <c r="BC100" s="83" t="s">
        <v>359</v>
      </c>
      <c r="BD100" s="83" t="s">
        <v>359</v>
      </c>
      <c r="BE100" s="83" t="s">
        <v>359</v>
      </c>
      <c r="BF100" s="83" t="s">
        <v>359</v>
      </c>
      <c r="BG100" s="83" t="s">
        <v>359</v>
      </c>
      <c r="BH100" s="82" t="s">
        <v>702</v>
      </c>
      <c r="BI100" s="82" t="s">
        <v>656</v>
      </c>
      <c r="BJ100" s="82" t="s">
        <v>916</v>
      </c>
      <c r="BK100" s="82" t="s">
        <v>1990</v>
      </c>
      <c r="BL100" s="82" t="s">
        <v>2002</v>
      </c>
      <c r="BM100" s="82" t="s">
        <v>917</v>
      </c>
      <c r="BN100" s="82" t="b">
        <v>0</v>
      </c>
      <c r="BO100" s="89"/>
    </row>
    <row r="101" spans="1:67">
      <c r="A101" s="100">
        <v>100330</v>
      </c>
      <c r="B101" s="89" t="s">
        <v>217</v>
      </c>
      <c r="C101" s="89" t="s">
        <v>209</v>
      </c>
      <c r="D101" s="89" t="s">
        <v>918</v>
      </c>
      <c r="E101" s="89" t="s">
        <v>647</v>
      </c>
      <c r="F101" s="89" t="s">
        <v>647</v>
      </c>
      <c r="G101" s="89" t="s">
        <v>648</v>
      </c>
      <c r="H101" s="89" t="s">
        <v>919</v>
      </c>
      <c r="I101" s="89" t="s">
        <v>920</v>
      </c>
      <c r="J101" s="89" t="s">
        <v>921</v>
      </c>
      <c r="K101" s="89"/>
      <c r="L101" s="89">
        <v>32</v>
      </c>
      <c r="M101" s="89" t="s">
        <v>353</v>
      </c>
      <c r="N101" s="89" t="s">
        <v>354</v>
      </c>
      <c r="O101" s="89">
        <v>32</v>
      </c>
      <c r="P101" s="89" t="s">
        <v>353</v>
      </c>
      <c r="Q101" s="89" t="s">
        <v>892</v>
      </c>
      <c r="R101" s="89" t="s">
        <v>371</v>
      </c>
      <c r="S101" s="89"/>
      <c r="T101" s="89"/>
      <c r="U101" s="93"/>
      <c r="V101" s="93"/>
      <c r="W101" s="93"/>
      <c r="X101" s="89"/>
      <c r="Y101" s="89"/>
      <c r="Z101" s="89"/>
      <c r="AA101" s="89"/>
      <c r="AB101" s="93"/>
      <c r="AC101" s="93"/>
      <c r="AD101" s="89"/>
      <c r="AE101" s="89"/>
      <c r="AF101" s="89">
        <v>8</v>
      </c>
      <c r="AG101" s="89">
        <v>2</v>
      </c>
      <c r="AH101" s="89">
        <v>0</v>
      </c>
      <c r="AI101" s="89">
        <v>10</v>
      </c>
      <c r="AJ101" s="89">
        <v>0</v>
      </c>
      <c r="AK101" s="89">
        <v>0</v>
      </c>
      <c r="AL101" s="89">
        <v>1</v>
      </c>
      <c r="AM101" s="89">
        <v>0.2</v>
      </c>
      <c r="AN101" s="89">
        <v>94</v>
      </c>
      <c r="AO101" s="89">
        <v>0</v>
      </c>
      <c r="AP101" s="89">
        <v>30</v>
      </c>
      <c r="AQ101" s="89">
        <v>1</v>
      </c>
      <c r="AR101" s="89">
        <v>0</v>
      </c>
      <c r="AS101" s="89">
        <v>0</v>
      </c>
      <c r="AT101" s="89">
        <v>0</v>
      </c>
      <c r="AU101" s="89" t="s">
        <v>357</v>
      </c>
      <c r="AV101" s="100">
        <v>564</v>
      </c>
      <c r="AW101" s="89" t="s">
        <v>372</v>
      </c>
      <c r="AX101" s="89"/>
      <c r="AY101" s="89" t="s">
        <v>359</v>
      </c>
      <c r="AZ101" s="89" t="s">
        <v>359</v>
      </c>
      <c r="BA101" s="89" t="s">
        <v>359</v>
      </c>
      <c r="BB101" s="89" t="s">
        <v>359</v>
      </c>
      <c r="BC101" s="89" t="s">
        <v>359</v>
      </c>
      <c r="BD101" s="89" t="s">
        <v>476</v>
      </c>
      <c r="BE101" s="89" t="s">
        <v>359</v>
      </c>
      <c r="BF101" s="89" t="s">
        <v>359</v>
      </c>
      <c r="BG101" s="89" t="s">
        <v>359</v>
      </c>
      <c r="BH101" s="89" t="s">
        <v>651</v>
      </c>
      <c r="BI101" s="89" t="s">
        <v>652</v>
      </c>
      <c r="BJ101" s="89"/>
      <c r="BK101" s="74">
        <v>44823.224097222221</v>
      </c>
      <c r="BL101" s="74">
        <v>45153.70721064815</v>
      </c>
      <c r="BM101" s="89" t="s">
        <v>922</v>
      </c>
      <c r="BN101" s="89" t="b">
        <v>0</v>
      </c>
      <c r="BO101" s="83"/>
    </row>
    <row r="102" spans="1:67">
      <c r="A102" s="100">
        <v>100330</v>
      </c>
      <c r="B102" s="89" t="s">
        <v>923</v>
      </c>
      <c r="C102" s="89" t="s">
        <v>209</v>
      </c>
      <c r="D102" s="89" t="s">
        <v>924</v>
      </c>
      <c r="E102" s="82" t="s">
        <v>904</v>
      </c>
      <c r="F102" s="89" t="s">
        <v>905</v>
      </c>
      <c r="G102" s="89" t="s">
        <v>906</v>
      </c>
      <c r="H102" s="82" t="s">
        <v>1995</v>
      </c>
      <c r="I102" s="82" t="s">
        <v>1996</v>
      </c>
      <c r="J102" s="89" t="s">
        <v>926</v>
      </c>
      <c r="K102" s="89" t="s">
        <v>908</v>
      </c>
      <c r="L102" s="82">
        <v>31</v>
      </c>
      <c r="M102" s="89" t="s">
        <v>353</v>
      </c>
      <c r="N102" s="89" t="s">
        <v>354</v>
      </c>
      <c r="O102" s="82">
        <v>31</v>
      </c>
      <c r="P102" s="89" t="s">
        <v>353</v>
      </c>
      <c r="Q102" s="82" t="s">
        <v>892</v>
      </c>
      <c r="R102" s="89" t="s">
        <v>474</v>
      </c>
      <c r="S102" s="103" t="s">
        <v>927</v>
      </c>
      <c r="T102" s="89"/>
      <c r="U102" s="93"/>
      <c r="V102" s="93"/>
      <c r="W102" s="93"/>
      <c r="X102" s="89"/>
      <c r="Y102" s="89"/>
      <c r="Z102" s="89"/>
      <c r="AA102" s="82"/>
      <c r="AB102" s="82"/>
      <c r="AC102" s="82"/>
      <c r="AD102" s="82"/>
      <c r="AE102" s="108" t="s">
        <v>1899</v>
      </c>
      <c r="AF102" s="82">
        <v>0</v>
      </c>
      <c r="AG102" s="82">
        <v>3</v>
      </c>
      <c r="AH102" s="82">
        <v>0</v>
      </c>
      <c r="AI102" s="82">
        <v>15</v>
      </c>
      <c r="AJ102" s="82">
        <v>0</v>
      </c>
      <c r="AK102" s="82">
        <v>0</v>
      </c>
      <c r="AL102" s="82">
        <v>0</v>
      </c>
      <c r="AM102" s="82">
        <v>0</v>
      </c>
      <c r="AN102" s="82">
        <v>90</v>
      </c>
      <c r="AO102" s="82">
        <v>1</v>
      </c>
      <c r="AP102" s="82">
        <v>35</v>
      </c>
      <c r="AQ102" s="89">
        <v>1</v>
      </c>
      <c r="AR102" s="89">
        <v>0</v>
      </c>
      <c r="AS102" s="89">
        <v>0</v>
      </c>
      <c r="AT102" s="89">
        <v>0</v>
      </c>
      <c r="AU102" s="89" t="s">
        <v>357</v>
      </c>
      <c r="AV102" s="101">
        <f>97*6</f>
        <v>582</v>
      </c>
      <c r="AW102" s="89" t="s">
        <v>372</v>
      </c>
      <c r="AX102" s="106" t="s">
        <v>373</v>
      </c>
      <c r="AY102" s="89" t="s">
        <v>359</v>
      </c>
      <c r="AZ102" s="89" t="s">
        <v>359</v>
      </c>
      <c r="BA102" s="89" t="s">
        <v>359</v>
      </c>
      <c r="BB102" s="89" t="s">
        <v>359</v>
      </c>
      <c r="BC102" s="89" t="s">
        <v>359</v>
      </c>
      <c r="BD102" s="89" t="s">
        <v>359</v>
      </c>
      <c r="BE102" s="89" t="s">
        <v>359</v>
      </c>
      <c r="BF102" s="89" t="s">
        <v>359</v>
      </c>
      <c r="BG102" s="89" t="s">
        <v>359</v>
      </c>
      <c r="BH102" s="82" t="s">
        <v>361</v>
      </c>
      <c r="BI102" s="89" t="s">
        <v>656</v>
      </c>
      <c r="BJ102" s="89"/>
      <c r="BK102" s="82" t="s">
        <v>2018</v>
      </c>
      <c r="BL102" s="82" t="s">
        <v>2037</v>
      </c>
      <c r="BM102" s="82" t="s">
        <v>929</v>
      </c>
      <c r="BN102" s="89" t="b">
        <v>0</v>
      </c>
      <c r="BO102" s="89"/>
    </row>
    <row r="103" spans="1:67">
      <c r="A103" s="85">
        <v>100330</v>
      </c>
      <c r="B103" s="83" t="s">
        <v>923</v>
      </c>
      <c r="C103" s="83" t="s">
        <v>209</v>
      </c>
      <c r="D103" s="86" t="s">
        <v>930</v>
      </c>
      <c r="E103" s="83" t="s">
        <v>895</v>
      </c>
      <c r="F103" s="82" t="s">
        <v>698</v>
      </c>
      <c r="G103" s="82" t="s">
        <v>699</v>
      </c>
      <c r="H103" s="82" t="s">
        <v>1965</v>
      </c>
      <c r="I103" s="82" t="s">
        <v>931</v>
      </c>
      <c r="J103" s="82" t="s">
        <v>925</v>
      </c>
      <c r="K103" s="82" t="s">
        <v>370</v>
      </c>
      <c r="L103" s="82">
        <v>123</v>
      </c>
      <c r="M103" s="82" t="s">
        <v>353</v>
      </c>
      <c r="N103" s="82" t="s">
        <v>354</v>
      </c>
      <c r="O103" s="82"/>
      <c r="P103" s="82"/>
      <c r="Q103" s="82" t="s">
        <v>630</v>
      </c>
      <c r="R103" s="82" t="s">
        <v>371</v>
      </c>
      <c r="S103" s="82"/>
      <c r="T103" s="83"/>
      <c r="U103" s="84"/>
      <c r="V103" s="84"/>
      <c r="W103" s="84"/>
      <c r="X103" s="83"/>
      <c r="Y103" s="83"/>
      <c r="Z103" s="83"/>
      <c r="AA103" s="83"/>
      <c r="AB103" s="84"/>
      <c r="AC103" s="84"/>
      <c r="AD103" s="83"/>
      <c r="AE103" s="83"/>
      <c r="AF103" s="82">
        <v>17</v>
      </c>
      <c r="AG103" s="82">
        <v>7</v>
      </c>
      <c r="AH103" s="82">
        <v>0</v>
      </c>
      <c r="AI103" s="82">
        <v>35</v>
      </c>
      <c r="AJ103" s="82">
        <v>0</v>
      </c>
      <c r="AK103" s="82">
        <v>0</v>
      </c>
      <c r="AL103" s="82">
        <v>2</v>
      </c>
      <c r="AM103" s="82">
        <v>1</v>
      </c>
      <c r="AN103" s="82">
        <v>399</v>
      </c>
      <c r="AO103" s="82">
        <v>2</v>
      </c>
      <c r="AP103" s="82">
        <v>65</v>
      </c>
      <c r="AQ103" s="82">
        <v>5</v>
      </c>
      <c r="AR103" s="82">
        <v>0</v>
      </c>
      <c r="AS103" s="82">
        <v>0</v>
      </c>
      <c r="AT103" s="82">
        <v>0</v>
      </c>
      <c r="AU103" s="82" t="s">
        <v>357</v>
      </c>
      <c r="AV103" s="82">
        <v>144</v>
      </c>
      <c r="AW103" s="82" t="s">
        <v>358</v>
      </c>
      <c r="AX103" s="73" t="b">
        <v>1</v>
      </c>
      <c r="AY103" s="83" t="s">
        <v>359</v>
      </c>
      <c r="AZ103" s="83" t="s">
        <v>359</v>
      </c>
      <c r="BA103" s="83" t="s">
        <v>359</v>
      </c>
      <c r="BB103" s="83" t="s">
        <v>359</v>
      </c>
      <c r="BC103" s="83" t="s">
        <v>359</v>
      </c>
      <c r="BD103" s="83" t="s">
        <v>359</v>
      </c>
      <c r="BE103" s="83" t="s">
        <v>359</v>
      </c>
      <c r="BF103" s="83" t="s">
        <v>359</v>
      </c>
      <c r="BG103" s="83" t="s">
        <v>359</v>
      </c>
      <c r="BH103" s="82" t="s">
        <v>702</v>
      </c>
      <c r="BI103" s="82" t="s">
        <v>656</v>
      </c>
      <c r="BJ103" s="82" t="s">
        <v>916</v>
      </c>
      <c r="BK103" s="82" t="s">
        <v>1990</v>
      </c>
      <c r="BL103" s="82" t="s">
        <v>2004</v>
      </c>
      <c r="BM103" s="82" t="s">
        <v>932</v>
      </c>
      <c r="BN103" s="82" t="b">
        <v>0</v>
      </c>
      <c r="BO103" s="89"/>
    </row>
    <row r="104" spans="1:67">
      <c r="A104" s="100">
        <v>100334</v>
      </c>
      <c r="B104" s="89" t="s">
        <v>218</v>
      </c>
      <c r="C104" s="89" t="s">
        <v>209</v>
      </c>
      <c r="D104" s="89" t="s">
        <v>933</v>
      </c>
      <c r="E104" s="89" t="s">
        <v>647</v>
      </c>
      <c r="F104" s="89" t="s">
        <v>647</v>
      </c>
      <c r="G104" s="89" t="s">
        <v>648</v>
      </c>
      <c r="H104" s="89" t="s">
        <v>934</v>
      </c>
      <c r="I104" s="89" t="s">
        <v>935</v>
      </c>
      <c r="J104" s="89" t="s">
        <v>936</v>
      </c>
      <c r="K104" s="89"/>
      <c r="L104" s="89">
        <v>61</v>
      </c>
      <c r="M104" s="89" t="s">
        <v>353</v>
      </c>
      <c r="N104" s="89" t="s">
        <v>354</v>
      </c>
      <c r="O104" s="89">
        <v>61</v>
      </c>
      <c r="P104" s="89" t="s">
        <v>353</v>
      </c>
      <c r="Q104" s="89" t="s">
        <v>764</v>
      </c>
      <c r="R104" s="89" t="s">
        <v>371</v>
      </c>
      <c r="S104" s="89"/>
      <c r="T104" s="89"/>
      <c r="U104" s="93"/>
      <c r="V104" s="93"/>
      <c r="W104" s="93"/>
      <c r="X104" s="89"/>
      <c r="Y104" s="89"/>
      <c r="Z104" s="89"/>
      <c r="AA104" s="89"/>
      <c r="AB104" s="93"/>
      <c r="AC104" s="93"/>
      <c r="AD104" s="89"/>
      <c r="AE104" s="89"/>
      <c r="AF104" s="89">
        <v>8</v>
      </c>
      <c r="AG104" s="89">
        <v>5</v>
      </c>
      <c r="AH104" s="89">
        <v>0</v>
      </c>
      <c r="AI104" s="89">
        <v>25</v>
      </c>
      <c r="AJ104" s="89">
        <v>0</v>
      </c>
      <c r="AK104" s="89">
        <v>0</v>
      </c>
      <c r="AL104" s="89">
        <v>1</v>
      </c>
      <c r="AM104" s="89">
        <v>0.3</v>
      </c>
      <c r="AN104" s="89">
        <v>171</v>
      </c>
      <c r="AO104" s="89">
        <v>1</v>
      </c>
      <c r="AP104" s="89">
        <v>70</v>
      </c>
      <c r="AQ104" s="89">
        <v>3</v>
      </c>
      <c r="AR104" s="89">
        <v>1</v>
      </c>
      <c r="AS104" s="89">
        <v>0</v>
      </c>
      <c r="AT104" s="89">
        <v>0</v>
      </c>
      <c r="AU104" s="89" t="s">
        <v>357</v>
      </c>
      <c r="AV104" s="100">
        <v>294</v>
      </c>
      <c r="AW104" s="89" t="s">
        <v>372</v>
      </c>
      <c r="AX104" s="89"/>
      <c r="AY104" s="89" t="s">
        <v>359</v>
      </c>
      <c r="AZ104" s="89" t="s">
        <v>359</v>
      </c>
      <c r="BA104" s="89" t="s">
        <v>359</v>
      </c>
      <c r="BB104" s="89" t="s">
        <v>359</v>
      </c>
      <c r="BC104" s="89" t="s">
        <v>359</v>
      </c>
      <c r="BD104" s="82" t="s">
        <v>476</v>
      </c>
      <c r="BE104" s="82" t="s">
        <v>359</v>
      </c>
      <c r="BF104" s="82" t="s">
        <v>359</v>
      </c>
      <c r="BG104" s="82" t="s">
        <v>359</v>
      </c>
      <c r="BH104" s="82" t="s">
        <v>651</v>
      </c>
      <c r="BI104" s="89" t="s">
        <v>652</v>
      </c>
      <c r="BJ104" s="82"/>
      <c r="BK104" s="74">
        <v>45170.397372685176</v>
      </c>
      <c r="BL104" s="74">
        <v>45153.70721064815</v>
      </c>
      <c r="BM104" s="89" t="s">
        <v>937</v>
      </c>
      <c r="BN104" s="89" t="b">
        <v>0</v>
      </c>
      <c r="BO104" s="89"/>
    </row>
    <row r="105" spans="1:67" ht="57.6">
      <c r="A105" s="100">
        <v>100334</v>
      </c>
      <c r="B105" s="89" t="s">
        <v>218</v>
      </c>
      <c r="C105" s="89" t="s">
        <v>209</v>
      </c>
      <c r="D105" s="89" t="s">
        <v>938</v>
      </c>
      <c r="E105" s="82" t="s">
        <v>904</v>
      </c>
      <c r="F105" s="89" t="s">
        <v>905</v>
      </c>
      <c r="G105" s="89" t="s">
        <v>906</v>
      </c>
      <c r="H105" s="82" t="s">
        <v>1966</v>
      </c>
      <c r="I105" s="82" t="s">
        <v>940</v>
      </c>
      <c r="J105" s="89" t="s">
        <v>934</v>
      </c>
      <c r="K105" s="89" t="s">
        <v>908</v>
      </c>
      <c r="L105" s="89">
        <v>122</v>
      </c>
      <c r="M105" s="89" t="s">
        <v>353</v>
      </c>
      <c r="N105" s="89" t="s">
        <v>354</v>
      </c>
      <c r="O105" s="89">
        <v>122</v>
      </c>
      <c r="P105" s="89" t="s">
        <v>353</v>
      </c>
      <c r="Q105" s="89" t="s">
        <v>630</v>
      </c>
      <c r="R105" s="89" t="s">
        <v>474</v>
      </c>
      <c r="S105" s="103" t="s">
        <v>941</v>
      </c>
      <c r="T105" s="89"/>
      <c r="U105" s="93"/>
      <c r="V105" s="93"/>
      <c r="W105" s="93"/>
      <c r="X105" s="89"/>
      <c r="Y105" s="89"/>
      <c r="Z105" s="89"/>
      <c r="AA105" s="89" t="s">
        <v>942</v>
      </c>
      <c r="AB105" s="93" t="s">
        <v>910</v>
      </c>
      <c r="AC105" s="82" t="s">
        <v>1967</v>
      </c>
      <c r="AD105" s="89" t="s">
        <v>943</v>
      </c>
      <c r="AE105" s="124" t="s">
        <v>1997</v>
      </c>
      <c r="AF105" s="89">
        <v>15</v>
      </c>
      <c r="AG105" s="89">
        <v>9</v>
      </c>
      <c r="AH105" s="89">
        <v>0</v>
      </c>
      <c r="AI105" s="89">
        <v>45</v>
      </c>
      <c r="AJ105" s="89">
        <v>0</v>
      </c>
      <c r="AK105" s="89">
        <v>0</v>
      </c>
      <c r="AL105" s="89">
        <v>2</v>
      </c>
      <c r="AM105" s="89">
        <v>1</v>
      </c>
      <c r="AN105" s="89">
        <v>290</v>
      </c>
      <c r="AO105" s="89">
        <v>2</v>
      </c>
      <c r="AP105" s="89">
        <v>75</v>
      </c>
      <c r="AQ105" s="89">
        <v>7</v>
      </c>
      <c r="AR105" s="89">
        <v>3</v>
      </c>
      <c r="AS105" s="89">
        <v>0</v>
      </c>
      <c r="AT105" s="89">
        <v>0</v>
      </c>
      <c r="AU105" s="89" t="s">
        <v>357</v>
      </c>
      <c r="AV105" s="104">
        <v>144</v>
      </c>
      <c r="AW105" s="89" t="s">
        <v>372</v>
      </c>
      <c r="AX105" s="106" t="s">
        <v>373</v>
      </c>
      <c r="AY105" s="89" t="s">
        <v>359</v>
      </c>
      <c r="AZ105" s="89" t="s">
        <v>359</v>
      </c>
      <c r="BA105" s="89" t="s">
        <v>359</v>
      </c>
      <c r="BB105" s="89" t="s">
        <v>359</v>
      </c>
      <c r="BC105" s="89" t="s">
        <v>359</v>
      </c>
      <c r="BD105" s="89" t="s">
        <v>359</v>
      </c>
      <c r="BE105" s="89" t="s">
        <v>359</v>
      </c>
      <c r="BF105" s="89" t="s">
        <v>359</v>
      </c>
      <c r="BG105" s="89" t="s">
        <v>359</v>
      </c>
      <c r="BH105" s="82" t="s">
        <v>2017</v>
      </c>
      <c r="BI105" s="89" t="s">
        <v>656</v>
      </c>
      <c r="BJ105" s="89"/>
      <c r="BK105" t="s">
        <v>2042</v>
      </c>
      <c r="BL105" t="s">
        <v>2077</v>
      </c>
      <c r="BM105" s="89" t="s">
        <v>944</v>
      </c>
      <c r="BN105" s="89" t="b">
        <v>0</v>
      </c>
      <c r="BO105" s="89"/>
    </row>
    <row r="106" spans="1:67">
      <c r="A106" s="109">
        <v>100334</v>
      </c>
      <c r="B106" s="82" t="s">
        <v>218</v>
      </c>
      <c r="C106" s="82" t="s">
        <v>209</v>
      </c>
      <c r="D106" s="82" t="s">
        <v>945</v>
      </c>
      <c r="E106" s="83" t="s">
        <v>895</v>
      </c>
      <c r="F106" s="82" t="s">
        <v>698</v>
      </c>
      <c r="G106" s="82" t="s">
        <v>699</v>
      </c>
      <c r="H106" s="82" t="s">
        <v>1968</v>
      </c>
      <c r="I106" s="82" t="s">
        <v>934</v>
      </c>
      <c r="J106" s="82" t="s">
        <v>939</v>
      </c>
      <c r="K106" s="82" t="s">
        <v>370</v>
      </c>
      <c r="L106" s="82">
        <v>123</v>
      </c>
      <c r="M106" s="82" t="s">
        <v>353</v>
      </c>
      <c r="N106" s="82" t="s">
        <v>354</v>
      </c>
      <c r="O106" s="82">
        <v>100</v>
      </c>
      <c r="P106" s="82" t="s">
        <v>353</v>
      </c>
      <c r="Q106" s="82" t="s">
        <v>630</v>
      </c>
      <c r="R106" s="82" t="s">
        <v>371</v>
      </c>
      <c r="S106" s="82"/>
      <c r="T106" s="82"/>
      <c r="U106" s="90"/>
      <c r="V106" s="90"/>
      <c r="W106" s="90"/>
      <c r="X106" s="82"/>
      <c r="Y106" s="82"/>
      <c r="Z106" s="82"/>
      <c r="AA106" s="82"/>
      <c r="AB106" s="90"/>
      <c r="AC106" s="90"/>
      <c r="AD106" s="82"/>
      <c r="AE106" s="82"/>
      <c r="AF106" s="82">
        <v>20</v>
      </c>
      <c r="AG106" s="82">
        <v>9</v>
      </c>
      <c r="AH106" s="82">
        <v>0</v>
      </c>
      <c r="AI106" s="82">
        <v>40</v>
      </c>
      <c r="AJ106" s="82">
        <v>0</v>
      </c>
      <c r="AK106" s="82">
        <v>0</v>
      </c>
      <c r="AL106" s="82">
        <v>2</v>
      </c>
      <c r="AM106" s="82">
        <v>1</v>
      </c>
      <c r="AN106" s="82">
        <v>494</v>
      </c>
      <c r="AO106" s="82">
        <v>2</v>
      </c>
      <c r="AP106" s="82">
        <v>75</v>
      </c>
      <c r="AQ106" s="82">
        <v>6</v>
      </c>
      <c r="AR106" s="82">
        <v>0</v>
      </c>
      <c r="AS106" s="82">
        <v>0</v>
      </c>
      <c r="AT106" s="82">
        <v>0</v>
      </c>
      <c r="AU106" s="82" t="s">
        <v>357</v>
      </c>
      <c r="AV106" s="101">
        <v>144</v>
      </c>
      <c r="AW106" s="82" t="s">
        <v>358</v>
      </c>
      <c r="AX106" s="107" t="b">
        <v>1</v>
      </c>
      <c r="AY106" s="82" t="s">
        <v>359</v>
      </c>
      <c r="AZ106" s="82" t="s">
        <v>359</v>
      </c>
      <c r="BA106" s="82" t="s">
        <v>359</v>
      </c>
      <c r="BB106" s="82" t="s">
        <v>359</v>
      </c>
      <c r="BC106" s="82" t="s">
        <v>359</v>
      </c>
      <c r="BD106" s="82" t="s">
        <v>359</v>
      </c>
      <c r="BE106" s="82" t="s">
        <v>359</v>
      </c>
      <c r="BF106" s="82" t="s">
        <v>359</v>
      </c>
      <c r="BG106" s="82" t="s">
        <v>359</v>
      </c>
      <c r="BH106" s="82" t="s">
        <v>702</v>
      </c>
      <c r="BI106" s="82" t="s">
        <v>656</v>
      </c>
      <c r="BJ106" s="82" t="s">
        <v>916</v>
      </c>
      <c r="BK106" s="82" t="s">
        <v>1990</v>
      </c>
      <c r="BL106" s="82" t="s">
        <v>2003</v>
      </c>
      <c r="BM106" s="82" t="s">
        <v>946</v>
      </c>
      <c r="BN106" s="82" t="b">
        <v>0</v>
      </c>
      <c r="BO106" s="89"/>
    </row>
    <row r="107" spans="1:67">
      <c r="A107" s="100">
        <v>100336</v>
      </c>
      <c r="B107" s="89" t="s">
        <v>219</v>
      </c>
      <c r="C107" s="89" t="s">
        <v>209</v>
      </c>
      <c r="D107" s="89" t="s">
        <v>947</v>
      </c>
      <c r="E107" s="89" t="s">
        <v>647</v>
      </c>
      <c r="F107" s="89" t="s">
        <v>647</v>
      </c>
      <c r="G107" s="89" t="s">
        <v>648</v>
      </c>
      <c r="H107" s="89" t="s">
        <v>948</v>
      </c>
      <c r="I107" s="89" t="s">
        <v>949</v>
      </c>
      <c r="J107" s="89" t="s">
        <v>950</v>
      </c>
      <c r="K107" s="89"/>
      <c r="L107" s="89">
        <v>125</v>
      </c>
      <c r="M107" s="89" t="s">
        <v>353</v>
      </c>
      <c r="N107" s="89" t="s">
        <v>354</v>
      </c>
      <c r="O107" s="89">
        <v>125</v>
      </c>
      <c r="P107" s="89" t="s">
        <v>353</v>
      </c>
      <c r="Q107" s="89" t="s">
        <v>630</v>
      </c>
      <c r="R107" s="89" t="s">
        <v>371</v>
      </c>
      <c r="S107" s="89"/>
      <c r="T107" s="89"/>
      <c r="U107" s="93"/>
      <c r="V107" s="93"/>
      <c r="W107" s="93"/>
      <c r="X107" s="89"/>
      <c r="Y107" s="89"/>
      <c r="Z107" s="89"/>
      <c r="AA107" s="89"/>
      <c r="AB107" s="93"/>
      <c r="AC107" s="93"/>
      <c r="AD107" s="89"/>
      <c r="AE107" s="89"/>
      <c r="AF107" s="89">
        <v>20</v>
      </c>
      <c r="AG107" s="89">
        <v>12</v>
      </c>
      <c r="AH107" s="89">
        <v>0</v>
      </c>
      <c r="AI107" s="89">
        <v>50</v>
      </c>
      <c r="AJ107" s="89">
        <v>0</v>
      </c>
      <c r="AK107" s="89">
        <v>0</v>
      </c>
      <c r="AL107" s="89">
        <v>2</v>
      </c>
      <c r="AM107" s="89">
        <v>1</v>
      </c>
      <c r="AN107" s="89">
        <v>344</v>
      </c>
      <c r="AO107" s="89">
        <v>1</v>
      </c>
      <c r="AP107" s="89">
        <v>140</v>
      </c>
      <c r="AQ107" s="89">
        <v>7</v>
      </c>
      <c r="AR107" s="89">
        <v>3</v>
      </c>
      <c r="AS107" s="89">
        <v>0</v>
      </c>
      <c r="AT107" s="89">
        <v>0</v>
      </c>
      <c r="AU107" s="89" t="s">
        <v>357</v>
      </c>
      <c r="AV107" s="100">
        <v>144</v>
      </c>
      <c r="AW107" s="89" t="s">
        <v>372</v>
      </c>
      <c r="AX107" s="89"/>
      <c r="AY107" s="89" t="s">
        <v>359</v>
      </c>
      <c r="AZ107" s="89" t="s">
        <v>359</v>
      </c>
      <c r="BA107" s="89" t="s">
        <v>359</v>
      </c>
      <c r="BB107" s="89" t="s">
        <v>359</v>
      </c>
      <c r="BC107" s="89" t="s">
        <v>359</v>
      </c>
      <c r="BD107" s="82" t="s">
        <v>476</v>
      </c>
      <c r="BE107" s="82" t="s">
        <v>359</v>
      </c>
      <c r="BF107" s="82" t="s">
        <v>359</v>
      </c>
      <c r="BG107" s="82" t="s">
        <v>359</v>
      </c>
      <c r="BH107" s="82" t="s">
        <v>651</v>
      </c>
      <c r="BI107" s="89" t="s">
        <v>652</v>
      </c>
      <c r="BJ107" s="82"/>
      <c r="BK107" s="74">
        <v>45170.392650462964</v>
      </c>
      <c r="BL107" s="74">
        <v>45153.70721064815</v>
      </c>
      <c r="BM107" s="89" t="s">
        <v>951</v>
      </c>
      <c r="BN107" s="89" t="b">
        <v>0</v>
      </c>
      <c r="BO107" s="89"/>
    </row>
    <row r="108" spans="1:67" ht="57.6">
      <c r="A108" s="100">
        <v>100336</v>
      </c>
      <c r="B108" s="89" t="s">
        <v>219</v>
      </c>
      <c r="C108" s="89" t="s">
        <v>209</v>
      </c>
      <c r="D108" s="89" t="s">
        <v>952</v>
      </c>
      <c r="E108" s="82" t="s">
        <v>904</v>
      </c>
      <c r="F108" s="89" t="s">
        <v>905</v>
      </c>
      <c r="G108" s="89" t="s">
        <v>906</v>
      </c>
      <c r="H108" s="82" t="s">
        <v>1969</v>
      </c>
      <c r="I108" s="82" t="s">
        <v>953</v>
      </c>
      <c r="J108" s="89" t="s">
        <v>954</v>
      </c>
      <c r="K108" s="89" t="s">
        <v>908</v>
      </c>
      <c r="L108" s="104">
        <v>126</v>
      </c>
      <c r="M108" s="89" t="s">
        <v>353</v>
      </c>
      <c r="N108" s="89" t="s">
        <v>354</v>
      </c>
      <c r="O108" s="104">
        <v>126</v>
      </c>
      <c r="P108" s="89" t="s">
        <v>353</v>
      </c>
      <c r="Q108" s="82" t="s">
        <v>630</v>
      </c>
      <c r="R108" s="89" t="s">
        <v>474</v>
      </c>
      <c r="S108" s="103" t="s">
        <v>955</v>
      </c>
      <c r="T108" s="89"/>
      <c r="U108" s="93"/>
      <c r="V108" s="93"/>
      <c r="W108" s="93"/>
      <c r="X108" s="89"/>
      <c r="Y108" s="89"/>
      <c r="Z108" s="89"/>
      <c r="AA108" s="89" t="s">
        <v>956</v>
      </c>
      <c r="AB108" s="93" t="s">
        <v>910</v>
      </c>
      <c r="AC108" s="82" t="s">
        <v>1967</v>
      </c>
      <c r="AD108" s="89" t="s">
        <v>957</v>
      </c>
      <c r="AE108" s="103" t="s">
        <v>928</v>
      </c>
      <c r="AF108" s="89">
        <v>16</v>
      </c>
      <c r="AG108" s="89">
        <v>9</v>
      </c>
      <c r="AH108" s="89">
        <v>0</v>
      </c>
      <c r="AI108" s="89">
        <v>45</v>
      </c>
      <c r="AJ108" s="89">
        <v>0</v>
      </c>
      <c r="AK108" s="89">
        <v>0</v>
      </c>
      <c r="AL108" s="89">
        <v>2</v>
      </c>
      <c r="AM108" s="89">
        <v>1</v>
      </c>
      <c r="AN108" s="89">
        <v>302</v>
      </c>
      <c r="AO108" s="89">
        <v>2</v>
      </c>
      <c r="AP108" s="89">
        <v>140</v>
      </c>
      <c r="AQ108" s="89">
        <v>6</v>
      </c>
      <c r="AR108" s="89">
        <v>2</v>
      </c>
      <c r="AS108" s="89">
        <v>0</v>
      </c>
      <c r="AT108" s="89">
        <v>0</v>
      </c>
      <c r="AU108" s="89" t="s">
        <v>357</v>
      </c>
      <c r="AV108" s="104">
        <f>24*6</f>
        <v>144</v>
      </c>
      <c r="AW108" s="89" t="s">
        <v>372</v>
      </c>
      <c r="AX108" s="106" t="s">
        <v>373</v>
      </c>
      <c r="AY108" s="89" t="s">
        <v>359</v>
      </c>
      <c r="AZ108" s="89" t="s">
        <v>359</v>
      </c>
      <c r="BA108" s="89" t="s">
        <v>359</v>
      </c>
      <c r="BB108" s="89" t="s">
        <v>359</v>
      </c>
      <c r="BC108" s="89" t="s">
        <v>359</v>
      </c>
      <c r="BD108" s="89" t="s">
        <v>359</v>
      </c>
      <c r="BE108" s="89" t="s">
        <v>359</v>
      </c>
      <c r="BF108" s="89" t="s">
        <v>359</v>
      </c>
      <c r="BG108" s="89" t="s">
        <v>359</v>
      </c>
      <c r="BH108" s="82" t="s">
        <v>1839</v>
      </c>
      <c r="BI108" s="89" t="s">
        <v>656</v>
      </c>
      <c r="BJ108" s="89"/>
      <c r="BK108" t="s">
        <v>2042</v>
      </c>
      <c r="BL108" t="s">
        <v>2078</v>
      </c>
      <c r="BM108" s="82" t="s">
        <v>1970</v>
      </c>
      <c r="BN108" s="82" t="b">
        <v>0</v>
      </c>
      <c r="BO108" s="89"/>
    </row>
    <row r="109" spans="1:67">
      <c r="A109" s="85">
        <v>100336</v>
      </c>
      <c r="B109" s="83" t="s">
        <v>219</v>
      </c>
      <c r="C109" s="83" t="s">
        <v>209</v>
      </c>
      <c r="D109" s="83" t="s">
        <v>958</v>
      </c>
      <c r="E109" s="83" t="s">
        <v>895</v>
      </c>
      <c r="F109" s="82" t="s">
        <v>698</v>
      </c>
      <c r="G109" s="82" t="s">
        <v>699</v>
      </c>
      <c r="H109" s="82" t="s">
        <v>1971</v>
      </c>
      <c r="I109" s="82" t="s">
        <v>959</v>
      </c>
      <c r="J109" s="82" t="s">
        <v>954</v>
      </c>
      <c r="K109" s="82" t="s">
        <v>370</v>
      </c>
      <c r="L109" s="82">
        <v>125</v>
      </c>
      <c r="M109" s="82" t="s">
        <v>353</v>
      </c>
      <c r="N109" s="82" t="s">
        <v>354</v>
      </c>
      <c r="O109" s="82"/>
      <c r="P109" s="82"/>
      <c r="Q109" s="82" t="s">
        <v>630</v>
      </c>
      <c r="R109" s="82" t="s">
        <v>371</v>
      </c>
      <c r="S109" s="82"/>
      <c r="T109" s="83"/>
      <c r="U109" s="84"/>
      <c r="V109" s="84"/>
      <c r="W109" s="84"/>
      <c r="X109" s="83"/>
      <c r="Y109" s="83"/>
      <c r="Z109" s="83"/>
      <c r="AA109" s="83"/>
      <c r="AB109" s="84"/>
      <c r="AC109" s="84"/>
      <c r="AD109" s="83"/>
      <c r="AE109" s="83"/>
      <c r="AF109" s="82">
        <v>19</v>
      </c>
      <c r="AG109" s="82">
        <v>8</v>
      </c>
      <c r="AH109" s="82">
        <v>0</v>
      </c>
      <c r="AI109" s="82">
        <v>35</v>
      </c>
      <c r="AJ109" s="82">
        <v>0</v>
      </c>
      <c r="AK109" s="82">
        <v>0</v>
      </c>
      <c r="AL109" s="82">
        <v>2</v>
      </c>
      <c r="AM109" s="82">
        <v>1</v>
      </c>
      <c r="AN109" s="82">
        <v>425</v>
      </c>
      <c r="AO109" s="82">
        <v>2</v>
      </c>
      <c r="AP109" s="82">
        <v>65</v>
      </c>
      <c r="AQ109" s="82">
        <v>5</v>
      </c>
      <c r="AR109" s="83">
        <v>0</v>
      </c>
      <c r="AS109" s="83">
        <v>0</v>
      </c>
      <c r="AT109" s="83">
        <v>0</v>
      </c>
      <c r="AU109" s="83" t="s">
        <v>357</v>
      </c>
      <c r="AV109" s="98" t="s">
        <v>960</v>
      </c>
      <c r="AW109" s="83" t="s">
        <v>358</v>
      </c>
      <c r="AX109" s="83" t="s">
        <v>373</v>
      </c>
      <c r="AY109" s="83" t="s">
        <v>359</v>
      </c>
      <c r="AZ109" s="83" t="s">
        <v>359</v>
      </c>
      <c r="BA109" s="83" t="s">
        <v>359</v>
      </c>
      <c r="BB109" s="83" t="s">
        <v>359</v>
      </c>
      <c r="BC109" s="83" t="s">
        <v>359</v>
      </c>
      <c r="BD109" s="83" t="s">
        <v>359</v>
      </c>
      <c r="BE109" s="83" t="s">
        <v>359</v>
      </c>
      <c r="BF109" s="83" t="s">
        <v>359</v>
      </c>
      <c r="BG109" s="83" t="s">
        <v>359</v>
      </c>
      <c r="BH109" s="82" t="s">
        <v>702</v>
      </c>
      <c r="BI109" s="82" t="s">
        <v>656</v>
      </c>
      <c r="BJ109" s="82" t="s">
        <v>916</v>
      </c>
      <c r="BK109" s="82" t="s">
        <v>1990</v>
      </c>
      <c r="BL109" s="82" t="s">
        <v>2006</v>
      </c>
      <c r="BM109" s="82" t="s">
        <v>961</v>
      </c>
      <c r="BN109" s="82" t="b">
        <v>0</v>
      </c>
      <c r="BO109" s="89"/>
    </row>
    <row r="110" spans="1:67">
      <c r="A110" s="100">
        <v>100348</v>
      </c>
      <c r="B110" s="89" t="s">
        <v>220</v>
      </c>
      <c r="C110" s="89" t="s">
        <v>209</v>
      </c>
      <c r="D110" s="89" t="s">
        <v>962</v>
      </c>
      <c r="E110" s="89" t="s">
        <v>963</v>
      </c>
      <c r="F110" s="89" t="s">
        <v>829</v>
      </c>
      <c r="G110" s="89" t="s">
        <v>829</v>
      </c>
      <c r="H110" s="89" t="s">
        <v>964</v>
      </c>
      <c r="I110" s="89" t="s">
        <v>965</v>
      </c>
      <c r="J110" s="89" t="s">
        <v>964</v>
      </c>
      <c r="K110" s="89" t="s">
        <v>370</v>
      </c>
      <c r="L110" s="89">
        <v>85</v>
      </c>
      <c r="M110" s="89" t="s">
        <v>353</v>
      </c>
      <c r="N110" s="89" t="s">
        <v>354</v>
      </c>
      <c r="O110" s="89"/>
      <c r="P110" s="89"/>
      <c r="Q110" s="89" t="s">
        <v>630</v>
      </c>
      <c r="R110" s="89" t="s">
        <v>966</v>
      </c>
      <c r="S110" s="89"/>
      <c r="T110" s="89"/>
      <c r="U110" s="93"/>
      <c r="V110" s="93"/>
      <c r="W110" s="93"/>
      <c r="X110" s="89"/>
      <c r="Y110" s="89"/>
      <c r="Z110" s="89"/>
      <c r="AA110" s="89"/>
      <c r="AB110" s="93"/>
      <c r="AC110" s="93"/>
      <c r="AD110" s="89"/>
      <c r="AE110" s="89"/>
      <c r="AF110" s="89">
        <v>0</v>
      </c>
      <c r="AG110" s="89">
        <v>18</v>
      </c>
      <c r="AH110" s="89">
        <v>0</v>
      </c>
      <c r="AI110" s="89">
        <v>70</v>
      </c>
      <c r="AJ110" s="89">
        <v>0</v>
      </c>
      <c r="AK110" s="89">
        <v>0</v>
      </c>
      <c r="AL110" s="89">
        <v>2</v>
      </c>
      <c r="AM110" s="89">
        <v>0.4</v>
      </c>
      <c r="AN110" s="89">
        <v>180</v>
      </c>
      <c r="AO110" s="89">
        <v>3</v>
      </c>
      <c r="AP110" s="89">
        <v>0</v>
      </c>
      <c r="AQ110" s="89">
        <v>2</v>
      </c>
      <c r="AR110" s="89">
        <v>0</v>
      </c>
      <c r="AS110" s="89">
        <v>0.5</v>
      </c>
      <c r="AT110" s="89">
        <v>0</v>
      </c>
      <c r="AU110" s="89"/>
      <c r="AV110" s="89" t="s">
        <v>491</v>
      </c>
      <c r="AW110" s="89" t="s">
        <v>358</v>
      </c>
      <c r="AX110" s="89" t="s">
        <v>373</v>
      </c>
      <c r="AY110" s="89" t="s">
        <v>359</v>
      </c>
      <c r="AZ110" s="89" t="s">
        <v>359</v>
      </c>
      <c r="BA110" s="89" t="s">
        <v>359</v>
      </c>
      <c r="BB110" s="89" t="s">
        <v>359</v>
      </c>
      <c r="BC110" s="89" t="s">
        <v>359</v>
      </c>
      <c r="BD110" s="89" t="s">
        <v>359</v>
      </c>
      <c r="BE110" s="89" t="s">
        <v>359</v>
      </c>
      <c r="BF110" s="89" t="s">
        <v>359</v>
      </c>
      <c r="BG110" s="89" t="s">
        <v>359</v>
      </c>
      <c r="BH110" s="89" t="s">
        <v>867</v>
      </c>
      <c r="BI110" s="89"/>
      <c r="BJ110" s="89"/>
      <c r="BK110" s="74">
        <v>45078.383946759262</v>
      </c>
      <c r="BL110" s="74">
        <v>45070.457696759258</v>
      </c>
      <c r="BM110" s="89" t="s">
        <v>967</v>
      </c>
      <c r="BN110" s="89" t="b">
        <v>0</v>
      </c>
      <c r="BO110" s="89"/>
    </row>
    <row r="111" spans="1:67">
      <c r="A111" s="100">
        <v>100348</v>
      </c>
      <c r="B111" s="89" t="s">
        <v>220</v>
      </c>
      <c r="C111" s="89" t="s">
        <v>209</v>
      </c>
      <c r="D111" s="89" t="s">
        <v>968</v>
      </c>
      <c r="E111" t="s">
        <v>2115</v>
      </c>
      <c r="F111" t="s">
        <v>1916</v>
      </c>
      <c r="G111" s="89" t="s">
        <v>762</v>
      </c>
      <c r="H111" s="89" t="s">
        <v>969</v>
      </c>
      <c r="I111" s="89" t="s">
        <v>970</v>
      </c>
      <c r="J111" s="89" t="s">
        <v>969</v>
      </c>
      <c r="K111" s="89"/>
      <c r="L111" s="104">
        <v>68</v>
      </c>
      <c r="M111" s="89" t="s">
        <v>353</v>
      </c>
      <c r="N111" s="89" t="s">
        <v>354</v>
      </c>
      <c r="O111" s="104">
        <v>68</v>
      </c>
      <c r="P111" s="89" t="s">
        <v>353</v>
      </c>
      <c r="Q111" s="89" t="s">
        <v>630</v>
      </c>
      <c r="R111" s="89" t="s">
        <v>564</v>
      </c>
      <c r="S111" s="89"/>
      <c r="T111" s="89"/>
      <c r="U111" s="93"/>
      <c r="V111" s="93"/>
      <c r="W111" s="93"/>
      <c r="X111" s="89"/>
      <c r="Y111" s="89"/>
      <c r="Z111" s="89"/>
      <c r="AA111" s="89"/>
      <c r="AB111" s="93"/>
      <c r="AC111" s="93"/>
      <c r="AD111" s="89"/>
      <c r="AE111" s="89"/>
      <c r="AF111" s="89">
        <v>2</v>
      </c>
      <c r="AG111" s="89">
        <v>13</v>
      </c>
      <c r="AH111" s="89">
        <v>0</v>
      </c>
      <c r="AI111" s="89">
        <v>60</v>
      </c>
      <c r="AJ111" s="89">
        <v>0</v>
      </c>
      <c r="AK111" s="89">
        <v>0</v>
      </c>
      <c r="AL111" s="89">
        <v>2</v>
      </c>
      <c r="AM111" s="89">
        <v>0</v>
      </c>
      <c r="AN111" s="89">
        <v>158</v>
      </c>
      <c r="AO111" s="89">
        <v>2</v>
      </c>
      <c r="AP111" s="89">
        <v>0.6</v>
      </c>
      <c r="AQ111" s="89">
        <v>2</v>
      </c>
      <c r="AR111" s="89">
        <v>0</v>
      </c>
      <c r="AS111" s="89">
        <v>0.6</v>
      </c>
      <c r="AT111" s="89">
        <v>0</v>
      </c>
      <c r="AU111" s="89"/>
      <c r="AV111" s="104" t="s">
        <v>971</v>
      </c>
      <c r="AW111" s="89" t="s">
        <v>372</v>
      </c>
      <c r="AX111" s="106" t="s">
        <v>373</v>
      </c>
      <c r="AY111" s="89" t="s">
        <v>359</v>
      </c>
      <c r="AZ111" s="89" t="s">
        <v>359</v>
      </c>
      <c r="BA111" s="89" t="s">
        <v>359</v>
      </c>
      <c r="BB111" s="89" t="s">
        <v>359</v>
      </c>
      <c r="BC111" s="89" t="s">
        <v>359</v>
      </c>
      <c r="BD111" s="89" t="s">
        <v>359</v>
      </c>
      <c r="BE111" s="89" t="s">
        <v>359</v>
      </c>
      <c r="BF111" s="89" t="s">
        <v>359</v>
      </c>
      <c r="BG111" s="89" t="s">
        <v>359</v>
      </c>
      <c r="BH111" s="89" t="s">
        <v>766</v>
      </c>
      <c r="BI111" s="89"/>
      <c r="BJ111" s="89"/>
      <c r="BK111" t="s">
        <v>2105</v>
      </c>
      <c r="BL111" t="s">
        <v>2116</v>
      </c>
      <c r="BM111" s="89" t="s">
        <v>972</v>
      </c>
      <c r="BN111" s="89" t="b">
        <v>0</v>
      </c>
      <c r="BO111" s="89"/>
    </row>
    <row r="112" spans="1:67">
      <c r="A112">
        <v>100348</v>
      </c>
      <c r="B112" t="s">
        <v>220</v>
      </c>
      <c r="C112" t="s">
        <v>209</v>
      </c>
      <c r="D112" t="s">
        <v>2294</v>
      </c>
      <c r="E112" t="s">
        <v>2295</v>
      </c>
      <c r="F112" t="s">
        <v>762</v>
      </c>
      <c r="G112" t="s">
        <v>762</v>
      </c>
      <c r="H112" t="s">
        <v>969</v>
      </c>
      <c r="I112" t="s">
        <v>970</v>
      </c>
      <c r="J112" t="s">
        <v>969</v>
      </c>
      <c r="L112">
        <v>68</v>
      </c>
      <c r="M112" t="s">
        <v>353</v>
      </c>
      <c r="N112" t="s">
        <v>354</v>
      </c>
      <c r="O112">
        <v>68</v>
      </c>
      <c r="P112" t="s">
        <v>353</v>
      </c>
      <c r="Q112" t="s">
        <v>758</v>
      </c>
      <c r="R112" t="s">
        <v>564</v>
      </c>
      <c r="U112"/>
      <c r="V112"/>
      <c r="W112"/>
      <c r="AB112"/>
      <c r="AC112"/>
      <c r="AF112">
        <v>0</v>
      </c>
      <c r="AG112">
        <v>14</v>
      </c>
      <c r="AH112">
        <v>0</v>
      </c>
      <c r="AI112">
        <v>60</v>
      </c>
      <c r="AJ112">
        <v>0</v>
      </c>
      <c r="AK112">
        <v>0</v>
      </c>
      <c r="AL112">
        <v>1</v>
      </c>
      <c r="AM112">
        <v>0.3</v>
      </c>
      <c r="AN112">
        <v>140</v>
      </c>
      <c r="AO112">
        <v>2</v>
      </c>
      <c r="AP112">
        <v>0</v>
      </c>
      <c r="AQ112">
        <v>2</v>
      </c>
      <c r="AR112">
        <v>0</v>
      </c>
      <c r="AS112">
        <v>0.5</v>
      </c>
      <c r="AT112">
        <v>0</v>
      </c>
      <c r="AV112">
        <v>200</v>
      </c>
      <c r="AW112" t="s">
        <v>372</v>
      </c>
      <c r="AX112" t="b">
        <v>1</v>
      </c>
      <c r="AY112" t="s">
        <v>359</v>
      </c>
      <c r="AZ112" t="s">
        <v>359</v>
      </c>
      <c r="BA112" t="s">
        <v>359</v>
      </c>
      <c r="BB112" t="s">
        <v>359</v>
      </c>
      <c r="BC112" t="s">
        <v>359</v>
      </c>
      <c r="BD112" t="s">
        <v>359</v>
      </c>
      <c r="BE112" t="s">
        <v>359</v>
      </c>
      <c r="BF112" t="s">
        <v>359</v>
      </c>
      <c r="BG112" t="s">
        <v>359</v>
      </c>
      <c r="BH112" t="s">
        <v>2296</v>
      </c>
      <c r="BK112" t="s">
        <v>2297</v>
      </c>
      <c r="BL112" t="s">
        <v>2298</v>
      </c>
      <c r="BM112" t="s">
        <v>972</v>
      </c>
      <c r="BN112" t="b">
        <v>0</v>
      </c>
      <c r="BO112" s="89"/>
    </row>
    <row r="113" spans="1:67">
      <c r="A113">
        <v>100348</v>
      </c>
      <c r="B113" t="s">
        <v>220</v>
      </c>
      <c r="C113" t="s">
        <v>209</v>
      </c>
      <c r="D113" t="s">
        <v>2299</v>
      </c>
      <c r="E113" t="s">
        <v>2300</v>
      </c>
      <c r="F113" t="s">
        <v>762</v>
      </c>
      <c r="G113" t="s">
        <v>762</v>
      </c>
      <c r="H113" t="s">
        <v>969</v>
      </c>
      <c r="I113" t="s">
        <v>970</v>
      </c>
      <c r="J113" t="s">
        <v>969</v>
      </c>
      <c r="L113">
        <v>68</v>
      </c>
      <c r="M113" t="s">
        <v>353</v>
      </c>
      <c r="N113" t="s">
        <v>354</v>
      </c>
      <c r="O113">
        <v>68</v>
      </c>
      <c r="P113" t="s">
        <v>353</v>
      </c>
      <c r="Q113" t="s">
        <v>630</v>
      </c>
      <c r="R113" t="s">
        <v>564</v>
      </c>
      <c r="U113"/>
      <c r="V113"/>
      <c r="W113"/>
      <c r="AB113"/>
      <c r="AC113"/>
      <c r="AF113">
        <v>0</v>
      </c>
      <c r="AG113">
        <v>14</v>
      </c>
      <c r="AH113">
        <v>0</v>
      </c>
      <c r="AI113">
        <v>60</v>
      </c>
      <c r="AJ113">
        <v>0</v>
      </c>
      <c r="AK113">
        <v>0</v>
      </c>
      <c r="AL113">
        <v>1</v>
      </c>
      <c r="AM113">
        <v>0.3</v>
      </c>
      <c r="AO113">
        <v>2</v>
      </c>
      <c r="AP113">
        <v>0</v>
      </c>
      <c r="AQ113">
        <v>2</v>
      </c>
      <c r="AR113">
        <v>0</v>
      </c>
      <c r="AS113">
        <v>0.5</v>
      </c>
      <c r="AT113">
        <v>0</v>
      </c>
      <c r="AV113">
        <v>200</v>
      </c>
      <c r="AW113" t="s">
        <v>372</v>
      </c>
      <c r="AX113" t="b">
        <v>1</v>
      </c>
      <c r="AY113" t="s">
        <v>359</v>
      </c>
      <c r="AZ113" t="s">
        <v>359</v>
      </c>
      <c r="BA113" t="s">
        <v>359</v>
      </c>
      <c r="BB113" t="s">
        <v>359</v>
      </c>
      <c r="BC113" t="s">
        <v>359</v>
      </c>
      <c r="BD113" t="s">
        <v>359</v>
      </c>
      <c r="BE113" t="s">
        <v>359</v>
      </c>
      <c r="BF113" t="s">
        <v>359</v>
      </c>
      <c r="BG113" t="s">
        <v>359</v>
      </c>
      <c r="BH113" t="s">
        <v>2301</v>
      </c>
      <c r="BK113" t="s">
        <v>2297</v>
      </c>
      <c r="BL113" t="s">
        <v>2298</v>
      </c>
      <c r="BM113" t="s">
        <v>972</v>
      </c>
      <c r="BN113" t="b">
        <v>0</v>
      </c>
      <c r="BO113" s="89"/>
    </row>
    <row r="114" spans="1:67">
      <c r="A114">
        <v>100348</v>
      </c>
      <c r="B114" t="s">
        <v>220</v>
      </c>
      <c r="C114" t="s">
        <v>209</v>
      </c>
      <c r="D114" t="s">
        <v>2302</v>
      </c>
      <c r="E114" t="s">
        <v>2303</v>
      </c>
      <c r="F114" t="s">
        <v>762</v>
      </c>
      <c r="G114" t="s">
        <v>762</v>
      </c>
      <c r="H114" t="s">
        <v>969</v>
      </c>
      <c r="I114" t="s">
        <v>970</v>
      </c>
      <c r="J114" t="s">
        <v>969</v>
      </c>
      <c r="L114">
        <v>68</v>
      </c>
      <c r="M114" t="s">
        <v>353</v>
      </c>
      <c r="O114">
        <v>68</v>
      </c>
      <c r="P114" t="s">
        <v>353</v>
      </c>
      <c r="Q114" t="s">
        <v>758</v>
      </c>
      <c r="R114" t="s">
        <v>564</v>
      </c>
      <c r="U114"/>
      <c r="V114"/>
      <c r="W114"/>
      <c r="AB114"/>
      <c r="AC114"/>
      <c r="AF114">
        <v>0</v>
      </c>
      <c r="AG114">
        <v>14</v>
      </c>
      <c r="AH114">
        <v>0</v>
      </c>
      <c r="AI114">
        <v>60</v>
      </c>
      <c r="AJ114">
        <v>0</v>
      </c>
      <c r="AK114">
        <v>0</v>
      </c>
      <c r="AL114">
        <v>1</v>
      </c>
      <c r="AM114">
        <v>0.3</v>
      </c>
      <c r="AN114">
        <v>140</v>
      </c>
      <c r="AO114">
        <v>2</v>
      </c>
      <c r="AP114">
        <v>0</v>
      </c>
      <c r="AQ114">
        <v>2</v>
      </c>
      <c r="AR114">
        <v>0</v>
      </c>
      <c r="AS114">
        <v>0.5</v>
      </c>
      <c r="AT114">
        <v>0</v>
      </c>
      <c r="AV114">
        <v>200</v>
      </c>
      <c r="AW114" t="s">
        <v>372</v>
      </c>
      <c r="AX114" t="b">
        <v>1</v>
      </c>
      <c r="AY114" t="s">
        <v>359</v>
      </c>
      <c r="AZ114" t="s">
        <v>359</v>
      </c>
      <c r="BA114" t="s">
        <v>359</v>
      </c>
      <c r="BB114" t="s">
        <v>359</v>
      </c>
      <c r="BC114" t="s">
        <v>359</v>
      </c>
      <c r="BD114" t="s">
        <v>359</v>
      </c>
      <c r="BE114" t="s">
        <v>359</v>
      </c>
      <c r="BF114" t="s">
        <v>359</v>
      </c>
      <c r="BG114" t="s">
        <v>359</v>
      </c>
      <c r="BH114" t="s">
        <v>2304</v>
      </c>
      <c r="BK114" t="s">
        <v>2297</v>
      </c>
      <c r="BL114" t="s">
        <v>2298</v>
      </c>
      <c r="BM114" t="s">
        <v>972</v>
      </c>
      <c r="BN114" t="b">
        <v>0</v>
      </c>
      <c r="BO114" s="89"/>
    </row>
    <row r="115" spans="1:67">
      <c r="A115" s="85">
        <v>100348</v>
      </c>
      <c r="B115" s="83" t="s">
        <v>220</v>
      </c>
      <c r="C115" s="83" t="s">
        <v>209</v>
      </c>
      <c r="D115" s="83" t="s">
        <v>973</v>
      </c>
      <c r="E115" s="83" t="s">
        <v>974</v>
      </c>
      <c r="F115" s="83" t="s">
        <v>839</v>
      </c>
      <c r="G115" s="83" t="s">
        <v>839</v>
      </c>
      <c r="H115" s="83" t="s">
        <v>975</v>
      </c>
      <c r="I115" s="83" t="s">
        <v>976</v>
      </c>
      <c r="J115" s="83" t="s">
        <v>977</v>
      </c>
      <c r="K115" s="83" t="s">
        <v>370</v>
      </c>
      <c r="L115" s="101">
        <v>93</v>
      </c>
      <c r="M115" s="82" t="s">
        <v>353</v>
      </c>
      <c r="N115" s="82" t="s">
        <v>354</v>
      </c>
      <c r="O115" s="101">
        <v>93</v>
      </c>
      <c r="P115" s="82" t="s">
        <v>353</v>
      </c>
      <c r="Q115" s="82" t="s">
        <v>885</v>
      </c>
      <c r="R115" s="82" t="s">
        <v>474</v>
      </c>
      <c r="S115" s="83"/>
      <c r="T115" s="83"/>
      <c r="U115" s="84"/>
      <c r="V115" s="84"/>
      <c r="W115" s="84"/>
      <c r="X115" s="83"/>
      <c r="Y115" s="83"/>
      <c r="Z115" s="83"/>
      <c r="AA115" s="83"/>
      <c r="AB115" s="84"/>
      <c r="AC115" s="84"/>
      <c r="AD115" s="83"/>
      <c r="AE115" s="83"/>
      <c r="AF115" s="82">
        <v>0</v>
      </c>
      <c r="AG115" s="82">
        <v>15</v>
      </c>
      <c r="AH115" s="82">
        <v>0</v>
      </c>
      <c r="AI115" s="82">
        <v>80</v>
      </c>
      <c r="AJ115" s="82">
        <v>0</v>
      </c>
      <c r="AK115" s="82">
        <v>0</v>
      </c>
      <c r="AL115" s="82">
        <v>3</v>
      </c>
      <c r="AM115" s="82">
        <v>0.4</v>
      </c>
      <c r="AN115" s="82">
        <v>220</v>
      </c>
      <c r="AO115" s="82">
        <v>3</v>
      </c>
      <c r="AP115" s="82">
        <v>0</v>
      </c>
      <c r="AQ115" s="82">
        <v>6</v>
      </c>
      <c r="AR115" s="82">
        <v>0</v>
      </c>
      <c r="AS115" s="82">
        <v>1</v>
      </c>
      <c r="AT115" s="82">
        <v>0</v>
      </c>
      <c r="AU115" s="82" t="s">
        <v>357</v>
      </c>
      <c r="AV115" s="101">
        <v>146</v>
      </c>
      <c r="AW115" s="83" t="s">
        <v>358</v>
      </c>
      <c r="AX115" s="99" t="s">
        <v>373</v>
      </c>
      <c r="AY115" s="83" t="s">
        <v>359</v>
      </c>
      <c r="AZ115" s="83" t="s">
        <v>359</v>
      </c>
      <c r="BA115" s="82" t="s">
        <v>359</v>
      </c>
      <c r="BB115" s="83" t="s">
        <v>359</v>
      </c>
      <c r="BC115" s="83" t="s">
        <v>359</v>
      </c>
      <c r="BD115" s="83" t="s">
        <v>359</v>
      </c>
      <c r="BE115" s="83" t="s">
        <v>359</v>
      </c>
      <c r="BF115" s="83" t="s">
        <v>359</v>
      </c>
      <c r="BG115" s="83" t="s">
        <v>359</v>
      </c>
      <c r="BH115" s="83" t="s">
        <v>852</v>
      </c>
      <c r="BI115" s="89" t="s">
        <v>656</v>
      </c>
      <c r="BJ115" s="83"/>
      <c r="BK115" s="74">
        <v>45323.385520833333</v>
      </c>
      <c r="BL115" s="74">
        <v>45308.558738425927</v>
      </c>
      <c r="BM115" s="83" t="s">
        <v>978</v>
      </c>
      <c r="BN115" s="82" t="b">
        <v>0</v>
      </c>
      <c r="BO115" s="89"/>
    </row>
    <row r="116" spans="1:67">
      <c r="A116" s="100">
        <v>100350</v>
      </c>
      <c r="B116" s="89" t="s">
        <v>221</v>
      </c>
      <c r="C116" s="89" t="s">
        <v>209</v>
      </c>
      <c r="D116" s="89" t="s">
        <v>979</v>
      </c>
      <c r="E116" s="89" t="s">
        <v>963</v>
      </c>
      <c r="F116" s="89" t="s">
        <v>829</v>
      </c>
      <c r="G116" s="89" t="s">
        <v>829</v>
      </c>
      <c r="H116" s="89" t="s">
        <v>980</v>
      </c>
      <c r="I116" s="89" t="s">
        <v>981</v>
      </c>
      <c r="J116" s="89" t="s">
        <v>981</v>
      </c>
      <c r="K116" s="89" t="s">
        <v>370</v>
      </c>
      <c r="L116" s="89">
        <v>85</v>
      </c>
      <c r="M116" s="89" t="s">
        <v>353</v>
      </c>
      <c r="N116" s="89" t="s">
        <v>354</v>
      </c>
      <c r="O116" s="89">
        <v>85</v>
      </c>
      <c r="P116" s="89" t="s">
        <v>353</v>
      </c>
      <c r="Q116" s="89" t="s">
        <v>885</v>
      </c>
      <c r="R116" s="89" t="s">
        <v>966</v>
      </c>
      <c r="S116" s="89"/>
      <c r="T116" s="89"/>
      <c r="U116" s="93"/>
      <c r="V116" s="93"/>
      <c r="W116" s="93"/>
      <c r="X116" s="89"/>
      <c r="Y116" s="89"/>
      <c r="Z116" s="89"/>
      <c r="AA116" s="89"/>
      <c r="AB116" s="93"/>
      <c r="AC116" s="93"/>
      <c r="AD116" s="89"/>
      <c r="AE116" s="89"/>
      <c r="AF116" s="89">
        <v>20</v>
      </c>
      <c r="AG116" s="89">
        <v>12</v>
      </c>
      <c r="AH116" s="89">
        <v>0</v>
      </c>
      <c r="AI116" s="89">
        <v>70</v>
      </c>
      <c r="AJ116" s="89">
        <v>0</v>
      </c>
      <c r="AK116" s="89">
        <v>0</v>
      </c>
      <c r="AL116" s="89">
        <v>4</v>
      </c>
      <c r="AM116" s="89">
        <v>1.3</v>
      </c>
      <c r="AN116" s="89">
        <v>130</v>
      </c>
      <c r="AO116" s="89">
        <v>4</v>
      </c>
      <c r="AP116" s="89">
        <v>90</v>
      </c>
      <c r="AQ116" s="89">
        <v>4</v>
      </c>
      <c r="AR116" s="89">
        <v>0</v>
      </c>
      <c r="AS116" s="89">
        <v>0</v>
      </c>
      <c r="AT116" s="89">
        <v>0</v>
      </c>
      <c r="AU116" s="89"/>
      <c r="AV116" s="89">
        <v>160</v>
      </c>
      <c r="AW116" s="89" t="s">
        <v>358</v>
      </c>
      <c r="AX116" s="89" t="s">
        <v>373</v>
      </c>
      <c r="AY116" s="89" t="s">
        <v>476</v>
      </c>
      <c r="AZ116" s="89" t="s">
        <v>476</v>
      </c>
      <c r="BA116" s="89" t="s">
        <v>476</v>
      </c>
      <c r="BB116" s="89" t="s">
        <v>476</v>
      </c>
      <c r="BC116" s="89" t="s">
        <v>476</v>
      </c>
      <c r="BD116" s="89" t="s">
        <v>476</v>
      </c>
      <c r="BE116" s="89" t="s">
        <v>476</v>
      </c>
      <c r="BF116" s="89" t="s">
        <v>476</v>
      </c>
      <c r="BG116" s="89" t="s">
        <v>476</v>
      </c>
      <c r="BH116" s="89" t="s">
        <v>867</v>
      </c>
      <c r="BI116" s="89" t="s">
        <v>656</v>
      </c>
      <c r="BJ116" s="89"/>
      <c r="BK116" s="74">
        <v>45078.380972222221</v>
      </c>
      <c r="BL116" s="74">
        <v>45077.4924537037</v>
      </c>
      <c r="BM116" s="89" t="s">
        <v>982</v>
      </c>
      <c r="BN116" s="89" t="b">
        <v>0</v>
      </c>
      <c r="BO116" s="89"/>
    </row>
    <row r="117" spans="1:67">
      <c r="A117" s="100">
        <v>100350</v>
      </c>
      <c r="B117" s="89" t="s">
        <v>221</v>
      </c>
      <c r="C117" s="89" t="s">
        <v>209</v>
      </c>
      <c r="D117" s="89" t="s">
        <v>983</v>
      </c>
      <c r="E117" t="s">
        <v>2123</v>
      </c>
      <c r="F117" t="s">
        <v>1916</v>
      </c>
      <c r="G117" s="89" t="s">
        <v>762</v>
      </c>
      <c r="H117" s="89" t="s">
        <v>969</v>
      </c>
      <c r="I117" s="89" t="s">
        <v>984</v>
      </c>
      <c r="J117" s="89" t="s">
        <v>969</v>
      </c>
      <c r="K117" s="89"/>
      <c r="L117" s="104">
        <v>67</v>
      </c>
      <c r="M117" s="89" t="s">
        <v>353</v>
      </c>
      <c r="N117" s="89" t="s">
        <v>354</v>
      </c>
      <c r="O117" s="104">
        <v>0.5</v>
      </c>
      <c r="P117" s="89" t="s">
        <v>757</v>
      </c>
      <c r="Q117" s="89" t="s">
        <v>630</v>
      </c>
      <c r="R117" s="89" t="s">
        <v>564</v>
      </c>
      <c r="S117" s="89"/>
      <c r="T117" s="89"/>
      <c r="U117" s="93"/>
      <c r="V117" s="93"/>
      <c r="W117" s="93"/>
      <c r="X117" s="89"/>
      <c r="Y117" s="89"/>
      <c r="Z117" s="89"/>
      <c r="AA117" s="89"/>
      <c r="AB117" s="93"/>
      <c r="AC117" s="93"/>
      <c r="AD117" s="89"/>
      <c r="AE117" s="89"/>
      <c r="AF117" s="89">
        <v>15</v>
      </c>
      <c r="AG117" s="89">
        <v>9</v>
      </c>
      <c r="AH117" s="89">
        <v>0</v>
      </c>
      <c r="AI117" s="89">
        <v>50</v>
      </c>
      <c r="AJ117" s="89">
        <v>0</v>
      </c>
      <c r="AK117" s="89">
        <v>0</v>
      </c>
      <c r="AL117" s="89">
        <v>3</v>
      </c>
      <c r="AM117" s="89">
        <v>1</v>
      </c>
      <c r="AN117" s="89">
        <v>103</v>
      </c>
      <c r="AO117" s="89">
        <v>3</v>
      </c>
      <c r="AP117" s="89">
        <v>70</v>
      </c>
      <c r="AQ117" s="89">
        <v>3</v>
      </c>
      <c r="AR117" s="89">
        <v>0</v>
      </c>
      <c r="AS117" s="89">
        <v>0.2</v>
      </c>
      <c r="AT117" s="89">
        <v>0</v>
      </c>
      <c r="AU117" s="89"/>
      <c r="AV117" s="104" t="s">
        <v>985</v>
      </c>
      <c r="AW117" s="89" t="s">
        <v>372</v>
      </c>
      <c r="AX117" s="106" t="b">
        <v>1</v>
      </c>
      <c r="AY117" s="89" t="s">
        <v>359</v>
      </c>
      <c r="AZ117" s="89" t="s">
        <v>359</v>
      </c>
      <c r="BA117" s="89" t="s">
        <v>359</v>
      </c>
      <c r="BB117" s="89" t="s">
        <v>359</v>
      </c>
      <c r="BC117" s="89" t="s">
        <v>359</v>
      </c>
      <c r="BD117" s="89" t="s">
        <v>359</v>
      </c>
      <c r="BE117" s="89" t="s">
        <v>359</v>
      </c>
      <c r="BF117" s="89" t="s">
        <v>359</v>
      </c>
      <c r="BG117" s="89" t="s">
        <v>359</v>
      </c>
      <c r="BH117" s="89" t="s">
        <v>766</v>
      </c>
      <c r="BI117" s="89"/>
      <c r="BJ117" s="89"/>
      <c r="BK117" t="s">
        <v>2105</v>
      </c>
      <c r="BL117" t="s">
        <v>2116</v>
      </c>
      <c r="BM117" s="89" t="s">
        <v>986</v>
      </c>
      <c r="BN117" s="89" t="b">
        <v>0</v>
      </c>
      <c r="BO117" s="89"/>
    </row>
    <row r="118" spans="1:67">
      <c r="A118" s="100">
        <v>100350</v>
      </c>
      <c r="B118" s="89" t="s">
        <v>221</v>
      </c>
      <c r="C118" s="89" t="s">
        <v>209</v>
      </c>
      <c r="D118" s="89" t="s">
        <v>987</v>
      </c>
      <c r="E118" s="89" t="s">
        <v>762</v>
      </c>
      <c r="F118" s="89" t="s">
        <v>762</v>
      </c>
      <c r="G118" s="89" t="s">
        <v>762</v>
      </c>
      <c r="H118" s="89" t="s">
        <v>969</v>
      </c>
      <c r="I118" s="89" t="s">
        <v>984</v>
      </c>
      <c r="J118" s="89" t="s">
        <v>969</v>
      </c>
      <c r="K118" s="89"/>
      <c r="L118" s="104">
        <v>67</v>
      </c>
      <c r="M118" s="89" t="s">
        <v>353</v>
      </c>
      <c r="N118" s="89" t="s">
        <v>354</v>
      </c>
      <c r="O118" s="104">
        <v>67</v>
      </c>
      <c r="P118" s="89" t="s">
        <v>353</v>
      </c>
      <c r="Q118" s="89" t="s">
        <v>630</v>
      </c>
      <c r="R118" s="89" t="s">
        <v>564</v>
      </c>
      <c r="S118" s="89"/>
      <c r="T118" s="89"/>
      <c r="U118" s="93"/>
      <c r="V118" s="93"/>
      <c r="W118" s="93"/>
      <c r="X118" s="89"/>
      <c r="Y118" s="89"/>
      <c r="Z118" s="89"/>
      <c r="AA118" s="89"/>
      <c r="AB118" s="93"/>
      <c r="AC118" s="93"/>
      <c r="AD118" s="89"/>
      <c r="AE118" s="89"/>
      <c r="AF118" s="89">
        <v>15</v>
      </c>
      <c r="AG118" s="89">
        <v>9</v>
      </c>
      <c r="AH118" s="89">
        <v>0</v>
      </c>
      <c r="AI118" s="89">
        <v>50</v>
      </c>
      <c r="AJ118" s="89">
        <v>0</v>
      </c>
      <c r="AK118" s="89">
        <v>0</v>
      </c>
      <c r="AL118" s="89">
        <v>3</v>
      </c>
      <c r="AM118" s="89">
        <v>1</v>
      </c>
      <c r="AN118" s="89">
        <v>103</v>
      </c>
      <c r="AO118" s="89">
        <v>3</v>
      </c>
      <c r="AP118" s="89">
        <v>70</v>
      </c>
      <c r="AQ118" s="89">
        <v>3</v>
      </c>
      <c r="AR118" s="89">
        <v>0</v>
      </c>
      <c r="AS118" s="89">
        <v>0</v>
      </c>
      <c r="AT118" s="89">
        <v>0</v>
      </c>
      <c r="AU118" s="89"/>
      <c r="AV118" s="104">
        <v>203</v>
      </c>
      <c r="AW118" s="89" t="s">
        <v>372</v>
      </c>
      <c r="AX118" s="106" t="s">
        <v>373</v>
      </c>
      <c r="AY118" s="89" t="s">
        <v>359</v>
      </c>
      <c r="AZ118" s="89" t="s">
        <v>359</v>
      </c>
      <c r="BA118" s="89" t="s">
        <v>359</v>
      </c>
      <c r="BB118" s="89" t="s">
        <v>359</v>
      </c>
      <c r="BC118" s="89" t="s">
        <v>359</v>
      </c>
      <c r="BD118" s="89" t="s">
        <v>359</v>
      </c>
      <c r="BE118" s="89" t="s">
        <v>359</v>
      </c>
      <c r="BF118" s="89" t="s">
        <v>359</v>
      </c>
      <c r="BG118" s="89" t="s">
        <v>359</v>
      </c>
      <c r="BH118" s="89" t="s">
        <v>766</v>
      </c>
      <c r="BI118" s="89"/>
      <c r="BJ118" s="89"/>
      <c r="BK118" s="74">
        <v>45323.378078703703</v>
      </c>
      <c r="BL118" s="74">
        <v>45309.445833333331</v>
      </c>
      <c r="BM118" s="89" t="s">
        <v>986</v>
      </c>
      <c r="BN118" s="89" t="b">
        <v>0</v>
      </c>
      <c r="BO118" s="89"/>
    </row>
    <row r="119" spans="1:67">
      <c r="A119">
        <v>100350</v>
      </c>
      <c r="B119" t="s">
        <v>221</v>
      </c>
      <c r="C119" t="s">
        <v>209</v>
      </c>
      <c r="D119" t="s">
        <v>2313</v>
      </c>
      <c r="E119" t="s">
        <v>2303</v>
      </c>
      <c r="F119" t="s">
        <v>762</v>
      </c>
      <c r="G119" t="s">
        <v>762</v>
      </c>
      <c r="H119" t="s">
        <v>969</v>
      </c>
      <c r="I119" t="s">
        <v>984</v>
      </c>
      <c r="J119" t="s">
        <v>969</v>
      </c>
      <c r="L119">
        <v>67</v>
      </c>
      <c r="M119" t="s">
        <v>353</v>
      </c>
      <c r="N119" t="s">
        <v>354</v>
      </c>
      <c r="O119">
        <v>67</v>
      </c>
      <c r="P119" t="s">
        <v>353</v>
      </c>
      <c r="Q119" t="s">
        <v>758</v>
      </c>
      <c r="R119" t="s">
        <v>564</v>
      </c>
      <c r="U119"/>
      <c r="V119"/>
      <c r="W119"/>
      <c r="AB119"/>
      <c r="AC119"/>
      <c r="AF119">
        <v>10</v>
      </c>
      <c r="AG119">
        <v>9</v>
      </c>
      <c r="AH119">
        <v>0</v>
      </c>
      <c r="AI119">
        <v>50</v>
      </c>
      <c r="AJ119">
        <v>0</v>
      </c>
      <c r="AK119">
        <v>0</v>
      </c>
      <c r="AL119">
        <v>3</v>
      </c>
      <c r="AM119">
        <v>1</v>
      </c>
      <c r="AN119">
        <v>100</v>
      </c>
      <c r="AO119">
        <v>4</v>
      </c>
      <c r="AP119">
        <v>70</v>
      </c>
      <c r="AQ119">
        <v>3</v>
      </c>
      <c r="AR119">
        <v>0</v>
      </c>
      <c r="AS119">
        <v>0</v>
      </c>
      <c r="AT119">
        <v>0</v>
      </c>
      <c r="AV119">
        <v>203</v>
      </c>
      <c r="AW119" t="s">
        <v>372</v>
      </c>
      <c r="AX119" t="b">
        <v>1</v>
      </c>
      <c r="AY119" t="s">
        <v>359</v>
      </c>
      <c r="AZ119" t="s">
        <v>359</v>
      </c>
      <c r="BA119" t="s">
        <v>359</v>
      </c>
      <c r="BB119" t="s">
        <v>359</v>
      </c>
      <c r="BC119" t="s">
        <v>359</v>
      </c>
      <c r="BD119" t="s">
        <v>359</v>
      </c>
      <c r="BE119" t="s">
        <v>359</v>
      </c>
      <c r="BF119" t="s">
        <v>359</v>
      </c>
      <c r="BG119" t="s">
        <v>359</v>
      </c>
      <c r="BH119" t="s">
        <v>2296</v>
      </c>
      <c r="BK119" t="s">
        <v>2297</v>
      </c>
      <c r="BL119" t="s">
        <v>2298</v>
      </c>
      <c r="BM119" t="s">
        <v>986</v>
      </c>
      <c r="BN119" t="b">
        <v>0</v>
      </c>
      <c r="BO119" s="89"/>
    </row>
    <row r="120" spans="1:67">
      <c r="A120">
        <v>100350</v>
      </c>
      <c r="B120" t="s">
        <v>221</v>
      </c>
      <c r="C120" t="s">
        <v>209</v>
      </c>
      <c r="D120" t="s">
        <v>2314</v>
      </c>
      <c r="E120" t="s">
        <v>2115</v>
      </c>
      <c r="F120" t="s">
        <v>762</v>
      </c>
      <c r="G120" t="s">
        <v>762</v>
      </c>
      <c r="H120" t="s">
        <v>969</v>
      </c>
      <c r="I120" t="s">
        <v>984</v>
      </c>
      <c r="J120" t="s">
        <v>969</v>
      </c>
      <c r="L120">
        <v>67</v>
      </c>
      <c r="M120" t="s">
        <v>353</v>
      </c>
      <c r="N120" t="s">
        <v>354</v>
      </c>
      <c r="O120">
        <v>67</v>
      </c>
      <c r="P120" t="s">
        <v>353</v>
      </c>
      <c r="Q120" t="s">
        <v>758</v>
      </c>
      <c r="R120" t="s">
        <v>564</v>
      </c>
      <c r="U120"/>
      <c r="V120"/>
      <c r="W120"/>
      <c r="AB120"/>
      <c r="AC120"/>
      <c r="AF120">
        <v>10</v>
      </c>
      <c r="AG120">
        <v>9</v>
      </c>
      <c r="AH120">
        <v>0</v>
      </c>
      <c r="AI120">
        <v>50</v>
      </c>
      <c r="AJ120">
        <v>0</v>
      </c>
      <c r="AK120">
        <v>0</v>
      </c>
      <c r="AL120">
        <v>3</v>
      </c>
      <c r="AM120">
        <v>1</v>
      </c>
      <c r="AN120">
        <v>100</v>
      </c>
      <c r="AO120">
        <v>4</v>
      </c>
      <c r="AP120">
        <v>70</v>
      </c>
      <c r="AQ120">
        <v>3</v>
      </c>
      <c r="AR120">
        <v>0</v>
      </c>
      <c r="AS120">
        <v>0</v>
      </c>
      <c r="AT120">
        <v>0</v>
      </c>
      <c r="AV120">
        <v>203</v>
      </c>
      <c r="AW120" t="s">
        <v>372</v>
      </c>
      <c r="AX120" t="b">
        <v>1</v>
      </c>
      <c r="AY120" t="s">
        <v>359</v>
      </c>
      <c r="AZ120" t="s">
        <v>359</v>
      </c>
      <c r="BA120" t="s">
        <v>359</v>
      </c>
      <c r="BB120" t="s">
        <v>359</v>
      </c>
      <c r="BC120" t="s">
        <v>359</v>
      </c>
      <c r="BD120" t="s">
        <v>359</v>
      </c>
      <c r="BE120" t="s">
        <v>359</v>
      </c>
      <c r="BF120" t="s">
        <v>359</v>
      </c>
      <c r="BG120" t="s">
        <v>359</v>
      </c>
      <c r="BH120" t="s">
        <v>2296</v>
      </c>
      <c r="BK120" t="s">
        <v>2297</v>
      </c>
      <c r="BL120" t="s">
        <v>2298</v>
      </c>
      <c r="BM120" t="s">
        <v>986</v>
      </c>
      <c r="BN120" t="b">
        <v>0</v>
      </c>
      <c r="BO120" s="89"/>
    </row>
    <row r="121" spans="1:67">
      <c r="A121">
        <v>100350</v>
      </c>
      <c r="B121" t="s">
        <v>221</v>
      </c>
      <c r="C121" t="s">
        <v>209</v>
      </c>
      <c r="D121" t="s">
        <v>2315</v>
      </c>
      <c r="E121" t="s">
        <v>2300</v>
      </c>
      <c r="F121" t="s">
        <v>762</v>
      </c>
      <c r="G121" t="s">
        <v>762</v>
      </c>
      <c r="H121" t="s">
        <v>969</v>
      </c>
      <c r="I121" t="s">
        <v>984</v>
      </c>
      <c r="J121" t="s">
        <v>969</v>
      </c>
      <c r="L121">
        <v>67</v>
      </c>
      <c r="M121" t="s">
        <v>353</v>
      </c>
      <c r="N121" t="s">
        <v>354</v>
      </c>
      <c r="O121">
        <v>67</v>
      </c>
      <c r="P121" t="s">
        <v>353</v>
      </c>
      <c r="Q121" t="s">
        <v>758</v>
      </c>
      <c r="R121" t="s">
        <v>564</v>
      </c>
      <c r="U121"/>
      <c r="V121"/>
      <c r="W121"/>
      <c r="AB121"/>
      <c r="AC121"/>
      <c r="AF121">
        <v>10</v>
      </c>
      <c r="AG121">
        <v>9</v>
      </c>
      <c r="AH121">
        <v>0</v>
      </c>
      <c r="AI121">
        <v>50</v>
      </c>
      <c r="AJ121">
        <v>0</v>
      </c>
      <c r="AK121">
        <v>0</v>
      </c>
      <c r="AL121">
        <v>3</v>
      </c>
      <c r="AM121">
        <v>0</v>
      </c>
      <c r="AN121">
        <v>100</v>
      </c>
      <c r="AO121">
        <v>4</v>
      </c>
      <c r="AP121">
        <v>70</v>
      </c>
      <c r="AQ121">
        <v>3</v>
      </c>
      <c r="AR121">
        <v>0</v>
      </c>
      <c r="AS121">
        <v>0</v>
      </c>
      <c r="AT121">
        <v>0</v>
      </c>
      <c r="AV121">
        <v>203</v>
      </c>
      <c r="AW121" t="s">
        <v>372</v>
      </c>
      <c r="AX121" t="b">
        <v>1</v>
      </c>
      <c r="AY121" t="s">
        <v>359</v>
      </c>
      <c r="AZ121" t="s">
        <v>359</v>
      </c>
      <c r="BA121" t="s">
        <v>359</v>
      </c>
      <c r="BB121" t="s">
        <v>359</v>
      </c>
      <c r="BC121" t="s">
        <v>359</v>
      </c>
      <c r="BD121" t="s">
        <v>359</v>
      </c>
      <c r="BE121" t="s">
        <v>359</v>
      </c>
      <c r="BF121" t="s">
        <v>359</v>
      </c>
      <c r="BG121" t="s">
        <v>359</v>
      </c>
      <c r="BH121" t="s">
        <v>2296</v>
      </c>
      <c r="BK121" t="s">
        <v>2297</v>
      </c>
      <c r="BL121" t="s">
        <v>2298</v>
      </c>
      <c r="BM121" t="s">
        <v>986</v>
      </c>
      <c r="BN121" t="b">
        <v>0</v>
      </c>
      <c r="BO121" s="89"/>
    </row>
    <row r="122" spans="1:67">
      <c r="A122" s="73">
        <v>100350</v>
      </c>
      <c r="B122" s="82" t="s">
        <v>221</v>
      </c>
      <c r="C122" s="82" t="s">
        <v>209</v>
      </c>
      <c r="D122" s="82" t="s">
        <v>1900</v>
      </c>
      <c r="E122" s="82" t="s">
        <v>974</v>
      </c>
      <c r="F122" s="82" t="s">
        <v>839</v>
      </c>
      <c r="G122" s="82" t="s">
        <v>839</v>
      </c>
      <c r="H122" s="82" t="s">
        <v>1901</v>
      </c>
      <c r="I122" s="82" t="s">
        <v>1902</v>
      </c>
      <c r="J122" s="82" t="s">
        <v>977</v>
      </c>
      <c r="K122" s="82" t="s">
        <v>370</v>
      </c>
      <c r="L122" s="82">
        <v>93</v>
      </c>
      <c r="M122" s="82" t="s">
        <v>353</v>
      </c>
      <c r="N122" s="82" t="s">
        <v>354</v>
      </c>
      <c r="O122" s="82">
        <v>93</v>
      </c>
      <c r="P122" s="82" t="s">
        <v>353</v>
      </c>
      <c r="Q122" s="82" t="s">
        <v>885</v>
      </c>
      <c r="R122" s="82" t="s">
        <v>474</v>
      </c>
      <c r="S122" s="82"/>
      <c r="T122" s="82"/>
      <c r="U122" s="82"/>
      <c r="V122" s="82"/>
      <c r="W122" s="82"/>
      <c r="X122" s="82"/>
      <c r="Y122" s="82"/>
      <c r="Z122" s="82"/>
      <c r="AA122" s="82"/>
      <c r="AB122" s="82"/>
      <c r="AC122" s="82"/>
      <c r="AD122" s="82"/>
      <c r="AE122" s="82"/>
      <c r="AF122" s="82">
        <v>20</v>
      </c>
      <c r="AG122" s="82">
        <v>13</v>
      </c>
      <c r="AH122" s="82">
        <v>0</v>
      </c>
      <c r="AI122" s="82">
        <v>80</v>
      </c>
      <c r="AJ122" s="82">
        <v>0</v>
      </c>
      <c r="AK122" s="82">
        <v>0</v>
      </c>
      <c r="AL122" s="82">
        <v>5</v>
      </c>
      <c r="AM122" s="82">
        <v>1.4</v>
      </c>
      <c r="AN122" s="82">
        <v>230</v>
      </c>
      <c r="AO122" s="82">
        <v>5</v>
      </c>
      <c r="AP122" s="82">
        <v>0</v>
      </c>
      <c r="AQ122" s="82">
        <v>5</v>
      </c>
      <c r="AR122" s="82">
        <v>0</v>
      </c>
      <c r="AS122" s="82">
        <v>0</v>
      </c>
      <c r="AT122" s="82">
        <v>0</v>
      </c>
      <c r="AU122" s="82" t="s">
        <v>357</v>
      </c>
      <c r="AV122" s="101">
        <v>146</v>
      </c>
      <c r="AW122" s="82" t="s">
        <v>358</v>
      </c>
      <c r="AX122" s="107" t="b">
        <v>1</v>
      </c>
      <c r="AY122" s="82" t="s">
        <v>359</v>
      </c>
      <c r="AZ122" s="82" t="s">
        <v>359</v>
      </c>
      <c r="BA122" s="82" t="s">
        <v>359</v>
      </c>
      <c r="BB122" s="82" t="s">
        <v>359</v>
      </c>
      <c r="BC122" s="82" t="s">
        <v>359</v>
      </c>
      <c r="BD122" s="82" t="s">
        <v>359</v>
      </c>
      <c r="BE122" s="82" t="s">
        <v>359</v>
      </c>
      <c r="BF122" s="82" t="s">
        <v>359</v>
      </c>
      <c r="BG122" s="82" t="s">
        <v>359</v>
      </c>
      <c r="BH122" s="82" t="s">
        <v>852</v>
      </c>
      <c r="BI122" s="82"/>
      <c r="BJ122" s="82"/>
      <c r="BK122" s="74">
        <v>45413.410208333327</v>
      </c>
      <c r="BL122" s="74">
        <v>45400.362754629627</v>
      </c>
      <c r="BM122" s="82" t="s">
        <v>986</v>
      </c>
      <c r="BN122" s="82" t="b">
        <v>0</v>
      </c>
      <c r="BO122" s="94"/>
    </row>
    <row r="123" spans="1:67">
      <c r="A123" s="100">
        <v>100351</v>
      </c>
      <c r="B123" s="89" t="s">
        <v>222</v>
      </c>
      <c r="C123" s="89" t="s">
        <v>209</v>
      </c>
      <c r="D123" s="89" t="s">
        <v>988</v>
      </c>
      <c r="E123" s="89" t="s">
        <v>963</v>
      </c>
      <c r="F123" s="89" t="s">
        <v>829</v>
      </c>
      <c r="G123" s="89" t="s">
        <v>829</v>
      </c>
      <c r="H123" s="89" t="s">
        <v>989</v>
      </c>
      <c r="I123" s="89" t="s">
        <v>830</v>
      </c>
      <c r="J123" s="89" t="s">
        <v>830</v>
      </c>
      <c r="K123" s="89" t="s">
        <v>370</v>
      </c>
      <c r="L123" s="89">
        <v>85</v>
      </c>
      <c r="M123" s="89" t="s">
        <v>353</v>
      </c>
      <c r="N123" s="89" t="s">
        <v>354</v>
      </c>
      <c r="O123" s="89">
        <v>85</v>
      </c>
      <c r="P123" s="89" t="s">
        <v>353</v>
      </c>
      <c r="Q123" s="89" t="s">
        <v>638</v>
      </c>
      <c r="R123" s="89" t="s">
        <v>966</v>
      </c>
      <c r="S123" s="89"/>
      <c r="T123" s="89"/>
      <c r="U123" s="93"/>
      <c r="V123" s="93"/>
      <c r="W123" s="93"/>
      <c r="X123" s="89"/>
      <c r="Y123" s="89"/>
      <c r="Z123" s="89"/>
      <c r="AA123" s="89"/>
      <c r="AB123" s="93"/>
      <c r="AC123" s="93"/>
      <c r="AD123" s="89"/>
      <c r="AE123" s="89"/>
      <c r="AF123" s="89">
        <v>40</v>
      </c>
      <c r="AG123" s="89">
        <v>6</v>
      </c>
      <c r="AH123" s="89">
        <v>0</v>
      </c>
      <c r="AI123" s="89">
        <v>35</v>
      </c>
      <c r="AJ123" s="89">
        <v>0</v>
      </c>
      <c r="AK123" s="89">
        <v>0</v>
      </c>
      <c r="AL123" s="89">
        <v>2</v>
      </c>
      <c r="AM123" s="89">
        <v>0.7</v>
      </c>
      <c r="AN123" s="89">
        <v>160</v>
      </c>
      <c r="AO123" s="89">
        <v>2</v>
      </c>
      <c r="AP123" s="89">
        <v>0</v>
      </c>
      <c r="AQ123" s="89">
        <v>2</v>
      </c>
      <c r="AR123" s="89">
        <v>0</v>
      </c>
      <c r="AS123" s="89">
        <v>0</v>
      </c>
      <c r="AT123" s="89">
        <v>0</v>
      </c>
      <c r="AU123" s="89"/>
      <c r="AV123" s="89" t="s">
        <v>491</v>
      </c>
      <c r="AW123" s="89" t="s">
        <v>358</v>
      </c>
      <c r="AX123" s="89" t="s">
        <v>373</v>
      </c>
      <c r="AY123" s="89" t="s">
        <v>476</v>
      </c>
      <c r="AZ123" s="89" t="s">
        <v>476</v>
      </c>
      <c r="BA123" s="89" t="s">
        <v>476</v>
      </c>
      <c r="BB123" s="89" t="s">
        <v>476</v>
      </c>
      <c r="BC123" s="89" t="s">
        <v>476</v>
      </c>
      <c r="BD123" s="89" t="s">
        <v>476</v>
      </c>
      <c r="BE123" s="89" t="s">
        <v>476</v>
      </c>
      <c r="BF123" s="89" t="s">
        <v>476</v>
      </c>
      <c r="BG123" s="89" t="s">
        <v>476</v>
      </c>
      <c r="BH123" s="89" t="s">
        <v>867</v>
      </c>
      <c r="BI123" s="89" t="s">
        <v>656</v>
      </c>
      <c r="BJ123" s="89"/>
      <c r="BK123" s="74">
        <v>45078.387256944443</v>
      </c>
      <c r="BL123" s="74">
        <v>45054.397199074083</v>
      </c>
      <c r="BM123" s="89" t="s">
        <v>990</v>
      </c>
      <c r="BN123" s="89" t="b">
        <v>0</v>
      </c>
      <c r="BO123" s="95"/>
    </row>
    <row r="124" spans="1:67">
      <c r="A124" s="100">
        <v>100351</v>
      </c>
      <c r="B124" s="89" t="s">
        <v>222</v>
      </c>
      <c r="C124" s="89" t="s">
        <v>209</v>
      </c>
      <c r="D124" s="89" t="s">
        <v>991</v>
      </c>
      <c r="E124" t="s">
        <v>2124</v>
      </c>
      <c r="F124" t="s">
        <v>1916</v>
      </c>
      <c r="G124" s="89" t="s">
        <v>762</v>
      </c>
      <c r="H124" s="89" t="s">
        <v>969</v>
      </c>
      <c r="I124" s="89" t="s">
        <v>830</v>
      </c>
      <c r="J124" s="89" t="s">
        <v>969</v>
      </c>
      <c r="K124" s="89"/>
      <c r="L124" s="104">
        <v>64</v>
      </c>
      <c r="M124" s="89" t="s">
        <v>353</v>
      </c>
      <c r="N124" s="89" t="s">
        <v>354</v>
      </c>
      <c r="O124" s="104">
        <v>64</v>
      </c>
      <c r="P124" s="89" t="s">
        <v>353</v>
      </c>
      <c r="Q124" s="89" t="s">
        <v>630</v>
      </c>
      <c r="R124" s="89" t="s">
        <v>564</v>
      </c>
      <c r="S124" s="89"/>
      <c r="T124" s="89"/>
      <c r="U124" s="93"/>
      <c r="V124" s="93"/>
      <c r="W124" s="93"/>
      <c r="X124" s="89"/>
      <c r="Y124" s="89"/>
      <c r="Z124" s="89"/>
      <c r="AA124" s="89"/>
      <c r="AB124" s="93"/>
      <c r="AC124" s="93"/>
      <c r="AD124" s="89"/>
      <c r="AE124" s="89"/>
      <c r="AF124" s="89">
        <v>32</v>
      </c>
      <c r="AG124" s="89">
        <v>4</v>
      </c>
      <c r="AH124" s="89">
        <v>0</v>
      </c>
      <c r="AI124" s="89">
        <v>25</v>
      </c>
      <c r="AJ124" s="89">
        <v>0</v>
      </c>
      <c r="AK124" s="89">
        <v>0</v>
      </c>
      <c r="AL124" s="89">
        <v>2</v>
      </c>
      <c r="AM124" s="89">
        <v>0</v>
      </c>
      <c r="AN124" s="89">
        <v>120</v>
      </c>
      <c r="AO124" s="89">
        <v>1</v>
      </c>
      <c r="AP124" s="89">
        <v>0</v>
      </c>
      <c r="AQ124" s="89">
        <v>2</v>
      </c>
      <c r="AR124" s="89">
        <v>0</v>
      </c>
      <c r="AS124" s="89">
        <v>0</v>
      </c>
      <c r="AT124" s="89">
        <v>0</v>
      </c>
      <c r="AU124" s="89"/>
      <c r="AV124" s="104" t="s">
        <v>992</v>
      </c>
      <c r="AW124" s="89" t="s">
        <v>372</v>
      </c>
      <c r="AX124" s="106" t="s">
        <v>373</v>
      </c>
      <c r="AY124" s="89" t="s">
        <v>359</v>
      </c>
      <c r="AZ124" s="89" t="s">
        <v>359</v>
      </c>
      <c r="BA124" s="89" t="s">
        <v>359</v>
      </c>
      <c r="BB124" s="89" t="s">
        <v>359</v>
      </c>
      <c r="BC124" s="89" t="s">
        <v>359</v>
      </c>
      <c r="BD124" s="89" t="s">
        <v>359</v>
      </c>
      <c r="BE124" s="89" t="s">
        <v>359</v>
      </c>
      <c r="BF124" s="89" t="s">
        <v>359</v>
      </c>
      <c r="BG124" s="89" t="s">
        <v>359</v>
      </c>
      <c r="BH124" s="89" t="s">
        <v>766</v>
      </c>
      <c r="BI124" s="89"/>
      <c r="BJ124" s="89"/>
      <c r="BK124" t="s">
        <v>2105</v>
      </c>
      <c r="BL124" t="s">
        <v>2125</v>
      </c>
      <c r="BM124" s="89" t="s">
        <v>990</v>
      </c>
      <c r="BN124" s="89" t="b">
        <v>0</v>
      </c>
      <c r="BO124" s="95"/>
    </row>
    <row r="125" spans="1:67">
      <c r="A125" s="82">
        <v>100351</v>
      </c>
      <c r="B125" s="82" t="s">
        <v>222</v>
      </c>
      <c r="C125" s="82" t="s">
        <v>209</v>
      </c>
      <c r="D125" s="89" t="s">
        <v>1972</v>
      </c>
      <c r="E125" s="82" t="s">
        <v>570</v>
      </c>
      <c r="F125" s="82" t="s">
        <v>543</v>
      </c>
      <c r="G125" s="82" t="s">
        <v>544</v>
      </c>
      <c r="H125" s="82" t="s">
        <v>1973</v>
      </c>
      <c r="I125" s="82" t="s">
        <v>1436</v>
      </c>
      <c r="J125" s="82" t="s">
        <v>1437</v>
      </c>
      <c r="K125" s="82" t="s">
        <v>370</v>
      </c>
      <c r="L125" s="82">
        <v>81</v>
      </c>
      <c r="M125" s="82" t="s">
        <v>353</v>
      </c>
      <c r="N125" t="s">
        <v>419</v>
      </c>
      <c r="O125" s="82">
        <v>81</v>
      </c>
      <c r="P125" s="82" t="s">
        <v>353</v>
      </c>
      <c r="Q125" s="82" t="s">
        <v>885</v>
      </c>
      <c r="R125" s="82" t="s">
        <v>564</v>
      </c>
      <c r="S125" s="82"/>
      <c r="T125" s="82"/>
      <c r="U125" s="82"/>
      <c r="V125" s="82"/>
      <c r="W125" s="82"/>
      <c r="X125" s="82"/>
      <c r="Y125" s="82"/>
      <c r="Z125" s="82"/>
      <c r="AA125" s="82"/>
      <c r="AB125" s="82"/>
      <c r="AC125" s="82"/>
      <c r="AD125" s="82"/>
      <c r="AE125" s="82"/>
      <c r="AF125" s="82">
        <v>30</v>
      </c>
      <c r="AG125" s="82">
        <v>6</v>
      </c>
      <c r="AH125" s="82">
        <v>0</v>
      </c>
      <c r="AI125" s="82">
        <v>30</v>
      </c>
      <c r="AJ125" s="82">
        <v>0</v>
      </c>
      <c r="AK125" s="82">
        <v>0</v>
      </c>
      <c r="AL125" s="82">
        <v>2</v>
      </c>
      <c r="AM125" s="82">
        <v>0.5</v>
      </c>
      <c r="AN125" s="82">
        <v>90</v>
      </c>
      <c r="AO125" s="82">
        <v>1</v>
      </c>
      <c r="AP125" s="82">
        <v>0</v>
      </c>
      <c r="AQ125" s="82">
        <v>1</v>
      </c>
      <c r="AR125" s="82">
        <v>0</v>
      </c>
      <c r="AS125" s="82">
        <v>0</v>
      </c>
      <c r="AT125" s="82">
        <v>0</v>
      </c>
      <c r="AU125" s="82" t="s">
        <v>502</v>
      </c>
      <c r="AV125" s="82">
        <v>168</v>
      </c>
      <c r="AW125" s="82" t="s">
        <v>358</v>
      </c>
      <c r="AX125" s="82" t="b">
        <v>1</v>
      </c>
      <c r="AY125" s="82" t="s">
        <v>359</v>
      </c>
      <c r="AZ125" s="82" t="s">
        <v>359</v>
      </c>
      <c r="BA125" s="82" t="s">
        <v>359</v>
      </c>
      <c r="BB125" s="82" t="s">
        <v>359</v>
      </c>
      <c r="BC125" s="82" t="s">
        <v>359</v>
      </c>
      <c r="BD125" s="82" t="s">
        <v>359</v>
      </c>
      <c r="BE125" s="82" t="s">
        <v>359</v>
      </c>
      <c r="BF125" s="82" t="s">
        <v>359</v>
      </c>
      <c r="BG125" s="82" t="s">
        <v>359</v>
      </c>
      <c r="BH125" s="82" t="s">
        <v>547</v>
      </c>
      <c r="BI125" s="82"/>
      <c r="BJ125" s="82"/>
      <c r="BK125" t="s">
        <v>2297</v>
      </c>
      <c r="BL125" t="s">
        <v>2352</v>
      </c>
      <c r="BM125" s="82" t="s">
        <v>990</v>
      </c>
      <c r="BN125" t="b">
        <v>1</v>
      </c>
      <c r="BO125" s="86"/>
    </row>
    <row r="126" spans="1:67">
      <c r="A126" s="73">
        <v>100351</v>
      </c>
      <c r="B126" s="82" t="s">
        <v>222</v>
      </c>
      <c r="C126" s="82" t="s">
        <v>209</v>
      </c>
      <c r="D126" s="82" t="s">
        <v>1903</v>
      </c>
      <c r="E126" t="s">
        <v>974</v>
      </c>
      <c r="F126" s="82" t="s">
        <v>839</v>
      </c>
      <c r="G126" s="82" t="s">
        <v>839</v>
      </c>
      <c r="H126" s="82" t="s">
        <v>1904</v>
      </c>
      <c r="I126" s="82" t="s">
        <v>1905</v>
      </c>
      <c r="J126" s="82" t="s">
        <v>977</v>
      </c>
      <c r="K126" s="82" t="s">
        <v>370</v>
      </c>
      <c r="L126" s="82">
        <v>89</v>
      </c>
      <c r="M126" s="82" t="s">
        <v>353</v>
      </c>
      <c r="N126" s="82" t="s">
        <v>354</v>
      </c>
      <c r="O126" s="82">
        <v>89</v>
      </c>
      <c r="P126" s="82" t="s">
        <v>353</v>
      </c>
      <c r="Q126" s="82" t="s">
        <v>638</v>
      </c>
      <c r="R126" s="82" t="s">
        <v>474</v>
      </c>
      <c r="S126" s="82"/>
      <c r="T126" s="82"/>
      <c r="U126" s="82"/>
      <c r="V126" s="82"/>
      <c r="W126" s="82"/>
      <c r="X126" s="82"/>
      <c r="Y126" s="82"/>
      <c r="Z126" s="82"/>
      <c r="AA126" s="82"/>
      <c r="AB126" s="82"/>
      <c r="AC126" s="82"/>
      <c r="AD126" s="82"/>
      <c r="AE126" s="82"/>
      <c r="AF126" s="82">
        <v>40</v>
      </c>
      <c r="AG126" s="82">
        <v>7</v>
      </c>
      <c r="AH126" s="82">
        <v>0</v>
      </c>
      <c r="AI126" s="82">
        <v>35</v>
      </c>
      <c r="AJ126" s="82">
        <v>0</v>
      </c>
      <c r="AK126" s="82">
        <v>0</v>
      </c>
      <c r="AL126" s="82">
        <v>2</v>
      </c>
      <c r="AM126" s="82">
        <v>0.8</v>
      </c>
      <c r="AN126" s="82">
        <v>170</v>
      </c>
      <c r="AO126" s="82">
        <v>2</v>
      </c>
      <c r="AP126" s="82">
        <v>0</v>
      </c>
      <c r="AQ126" s="82">
        <v>2</v>
      </c>
      <c r="AR126" s="82">
        <v>0</v>
      </c>
      <c r="AS126" s="82">
        <v>0</v>
      </c>
      <c r="AT126" s="82">
        <v>0</v>
      </c>
      <c r="AU126" s="82" t="s">
        <v>357</v>
      </c>
      <c r="AV126" s="101">
        <v>153</v>
      </c>
      <c r="AW126" s="82" t="s">
        <v>358</v>
      </c>
      <c r="AX126" s="107" t="b">
        <v>1</v>
      </c>
      <c r="AY126" s="82" t="s">
        <v>359</v>
      </c>
      <c r="AZ126" s="82" t="s">
        <v>359</v>
      </c>
      <c r="BA126" s="82" t="s">
        <v>359</v>
      </c>
      <c r="BB126" s="82" t="s">
        <v>359</v>
      </c>
      <c r="BC126" s="82" t="s">
        <v>359</v>
      </c>
      <c r="BD126" s="82" t="s">
        <v>359</v>
      </c>
      <c r="BE126" s="82" t="s">
        <v>359</v>
      </c>
      <c r="BF126" s="82" t="s">
        <v>359</v>
      </c>
      <c r="BG126" s="82" t="s">
        <v>359</v>
      </c>
      <c r="BH126" s="82" t="s">
        <v>852</v>
      </c>
      <c r="BI126" s="82"/>
      <c r="BJ126" s="82"/>
      <c r="BK126" t="s">
        <v>2297</v>
      </c>
      <c r="BL126" t="s">
        <v>2358</v>
      </c>
      <c r="BM126" s="82" t="s">
        <v>990</v>
      </c>
      <c r="BN126" s="82" t="b">
        <v>0</v>
      </c>
      <c r="BO126" s="89"/>
    </row>
    <row r="127" spans="1:67">
      <c r="A127" s="100">
        <v>100352</v>
      </c>
      <c r="B127" s="89" t="s">
        <v>223</v>
      </c>
      <c r="C127" s="89" t="s">
        <v>209</v>
      </c>
      <c r="D127" s="89" t="s">
        <v>993</v>
      </c>
      <c r="E127" t="s">
        <v>2115</v>
      </c>
      <c r="F127" t="s">
        <v>1916</v>
      </c>
      <c r="G127" s="89" t="s">
        <v>762</v>
      </c>
      <c r="H127" s="89" t="s">
        <v>969</v>
      </c>
      <c r="I127" s="89" t="s">
        <v>994</v>
      </c>
      <c r="J127" s="89" t="s">
        <v>969</v>
      </c>
      <c r="K127" s="89"/>
      <c r="L127" s="104">
        <v>60</v>
      </c>
      <c r="M127" s="89" t="s">
        <v>353</v>
      </c>
      <c r="N127" s="89" t="s">
        <v>354</v>
      </c>
      <c r="O127" s="104">
        <v>60</v>
      </c>
      <c r="P127" s="89" t="s">
        <v>353</v>
      </c>
      <c r="Q127" s="89" t="s">
        <v>630</v>
      </c>
      <c r="R127" s="89" t="s">
        <v>564</v>
      </c>
      <c r="S127" s="89"/>
      <c r="T127" s="89"/>
      <c r="U127" s="93"/>
      <c r="V127" s="93"/>
      <c r="W127" s="93"/>
      <c r="X127" s="89"/>
      <c r="Y127" s="89"/>
      <c r="Z127" s="89"/>
      <c r="AA127" s="89"/>
      <c r="AB127" s="93"/>
      <c r="AC127" s="93"/>
      <c r="AD127" s="89"/>
      <c r="AE127" s="89"/>
      <c r="AF127" s="89">
        <v>30</v>
      </c>
      <c r="AG127" s="89">
        <v>6</v>
      </c>
      <c r="AH127" s="89">
        <v>0</v>
      </c>
      <c r="AI127" s="89">
        <v>30</v>
      </c>
      <c r="AJ127" s="89">
        <v>0</v>
      </c>
      <c r="AK127" s="89">
        <v>0</v>
      </c>
      <c r="AL127" s="89">
        <v>3</v>
      </c>
      <c r="AM127" s="89">
        <v>0</v>
      </c>
      <c r="AN127" s="89">
        <v>160</v>
      </c>
      <c r="AO127" s="89">
        <v>1</v>
      </c>
      <c r="AP127" s="89">
        <v>40</v>
      </c>
      <c r="AQ127" s="89">
        <v>4</v>
      </c>
      <c r="AR127" s="89">
        <v>0</v>
      </c>
      <c r="AS127" s="89">
        <v>0</v>
      </c>
      <c r="AT127" s="89">
        <v>21</v>
      </c>
      <c r="AU127" s="89"/>
      <c r="AV127" s="104" t="s">
        <v>995</v>
      </c>
      <c r="AW127" s="89" t="s">
        <v>372</v>
      </c>
      <c r="AX127" s="106" t="s">
        <v>373</v>
      </c>
      <c r="AY127" s="89" t="s">
        <v>359</v>
      </c>
      <c r="AZ127" s="89" t="s">
        <v>359</v>
      </c>
      <c r="BA127" s="89" t="s">
        <v>359</v>
      </c>
      <c r="BB127" s="89" t="s">
        <v>359</v>
      </c>
      <c r="BC127" s="89" t="s">
        <v>359</v>
      </c>
      <c r="BD127" s="89" t="s">
        <v>359</v>
      </c>
      <c r="BE127" s="89" t="s">
        <v>359</v>
      </c>
      <c r="BF127" s="89" t="s">
        <v>359</v>
      </c>
      <c r="BG127" s="89" t="s">
        <v>359</v>
      </c>
      <c r="BH127" s="89" t="s">
        <v>766</v>
      </c>
      <c r="BI127" s="89"/>
      <c r="BJ127" s="89"/>
      <c r="BK127" t="s">
        <v>2105</v>
      </c>
      <c r="BL127" t="s">
        <v>2126</v>
      </c>
      <c r="BM127" s="89" t="s">
        <v>996</v>
      </c>
      <c r="BN127" s="89" t="b">
        <v>0</v>
      </c>
      <c r="BO127" s="89"/>
    </row>
    <row r="128" spans="1:67">
      <c r="A128">
        <v>100352</v>
      </c>
      <c r="B128" t="s">
        <v>223</v>
      </c>
      <c r="C128" t="s">
        <v>209</v>
      </c>
      <c r="D128" t="s">
        <v>2318</v>
      </c>
      <c r="E128" t="s">
        <v>2124</v>
      </c>
      <c r="F128" t="s">
        <v>762</v>
      </c>
      <c r="G128" t="s">
        <v>762</v>
      </c>
      <c r="H128" t="s">
        <v>969</v>
      </c>
      <c r="I128" t="s">
        <v>994</v>
      </c>
      <c r="J128" t="s">
        <v>969</v>
      </c>
      <c r="L128">
        <v>60</v>
      </c>
      <c r="M128" t="s">
        <v>353</v>
      </c>
      <c r="N128" t="s">
        <v>354</v>
      </c>
      <c r="O128">
        <v>60</v>
      </c>
      <c r="P128" t="s">
        <v>353</v>
      </c>
      <c r="Q128" t="s">
        <v>758</v>
      </c>
      <c r="R128" t="s">
        <v>564</v>
      </c>
      <c r="U128"/>
      <c r="V128"/>
      <c r="W128"/>
      <c r="AB128"/>
      <c r="AC128"/>
      <c r="AF128">
        <v>20</v>
      </c>
      <c r="AG128">
        <v>5</v>
      </c>
      <c r="AH128">
        <v>0</v>
      </c>
      <c r="AI128">
        <v>20</v>
      </c>
      <c r="AJ128">
        <v>0</v>
      </c>
      <c r="AK128">
        <v>0</v>
      </c>
      <c r="AL128">
        <v>2</v>
      </c>
      <c r="AM128">
        <v>0.3</v>
      </c>
      <c r="AN128">
        <v>140</v>
      </c>
      <c r="AO128">
        <v>0</v>
      </c>
      <c r="AP128">
        <v>40</v>
      </c>
      <c r="AQ128">
        <v>3</v>
      </c>
      <c r="AR128">
        <v>0</v>
      </c>
      <c r="AS128">
        <v>0</v>
      </c>
      <c r="AT128">
        <v>0</v>
      </c>
      <c r="AV128">
        <v>226</v>
      </c>
      <c r="AW128" t="s">
        <v>372</v>
      </c>
      <c r="AX128" t="b">
        <v>1</v>
      </c>
      <c r="AY128" t="s">
        <v>359</v>
      </c>
      <c r="AZ128" t="s">
        <v>359</v>
      </c>
      <c r="BA128" t="s">
        <v>359</v>
      </c>
      <c r="BB128" t="s">
        <v>359</v>
      </c>
      <c r="BC128" t="s">
        <v>359</v>
      </c>
      <c r="BD128" t="s">
        <v>359</v>
      </c>
      <c r="BE128" t="s">
        <v>359</v>
      </c>
      <c r="BF128" t="s">
        <v>359</v>
      </c>
      <c r="BG128" t="s">
        <v>359</v>
      </c>
      <c r="BH128" t="s">
        <v>2309</v>
      </c>
      <c r="BK128" t="s">
        <v>2297</v>
      </c>
      <c r="BL128" t="s">
        <v>2298</v>
      </c>
      <c r="BM128" t="s">
        <v>996</v>
      </c>
      <c r="BN128" t="b">
        <v>0</v>
      </c>
      <c r="BO128" s="94"/>
    </row>
    <row r="129" spans="1:67">
      <c r="A129">
        <v>100352</v>
      </c>
      <c r="B129" t="s">
        <v>223</v>
      </c>
      <c r="C129" t="s">
        <v>209</v>
      </c>
      <c r="D129" t="s">
        <v>2319</v>
      </c>
      <c r="E129" t="s">
        <v>2320</v>
      </c>
      <c r="F129" t="s">
        <v>762</v>
      </c>
      <c r="G129" t="s">
        <v>762</v>
      </c>
      <c r="H129" t="s">
        <v>969</v>
      </c>
      <c r="I129" t="s">
        <v>994</v>
      </c>
      <c r="J129" t="s">
        <v>969</v>
      </c>
      <c r="L129">
        <v>60</v>
      </c>
      <c r="M129" t="s">
        <v>353</v>
      </c>
      <c r="N129" t="s">
        <v>354</v>
      </c>
      <c r="O129">
        <v>60</v>
      </c>
      <c r="P129" t="s">
        <v>353</v>
      </c>
      <c r="Q129" t="s">
        <v>758</v>
      </c>
      <c r="R129" t="s">
        <v>564</v>
      </c>
      <c r="U129"/>
      <c r="V129"/>
      <c r="W129"/>
      <c r="AB129"/>
      <c r="AC129"/>
      <c r="AF129">
        <v>20</v>
      </c>
      <c r="AG129">
        <v>5</v>
      </c>
      <c r="AH129">
        <v>0</v>
      </c>
      <c r="AI129">
        <v>20</v>
      </c>
      <c r="AJ129">
        <v>0</v>
      </c>
      <c r="AK129">
        <v>0</v>
      </c>
      <c r="AL129">
        <v>2</v>
      </c>
      <c r="AM129">
        <v>0.3</v>
      </c>
      <c r="AN129">
        <v>140</v>
      </c>
      <c r="AO129">
        <v>0</v>
      </c>
      <c r="AP129">
        <v>40</v>
      </c>
      <c r="AQ129">
        <v>3</v>
      </c>
      <c r="AR129">
        <v>0</v>
      </c>
      <c r="AS129">
        <v>0</v>
      </c>
      <c r="AT129">
        <v>0</v>
      </c>
      <c r="AV129">
        <v>226</v>
      </c>
      <c r="AW129" t="s">
        <v>372</v>
      </c>
      <c r="AX129" t="b">
        <v>1</v>
      </c>
      <c r="AY129" t="s">
        <v>359</v>
      </c>
      <c r="AZ129" t="s">
        <v>359</v>
      </c>
      <c r="BA129" t="s">
        <v>359</v>
      </c>
      <c r="BB129" t="s">
        <v>359</v>
      </c>
      <c r="BC129" t="s">
        <v>359</v>
      </c>
      <c r="BD129" t="s">
        <v>359</v>
      </c>
      <c r="BE129" t="s">
        <v>359</v>
      </c>
      <c r="BF129" t="s">
        <v>359</v>
      </c>
      <c r="BG129" t="s">
        <v>359</v>
      </c>
      <c r="BH129" t="s">
        <v>2321</v>
      </c>
      <c r="BK129" t="s">
        <v>2297</v>
      </c>
      <c r="BL129" t="s">
        <v>2298</v>
      </c>
      <c r="BM129" t="s">
        <v>996</v>
      </c>
      <c r="BN129" t="b">
        <v>0</v>
      </c>
      <c r="BO129" s="83"/>
    </row>
    <row r="130" spans="1:67">
      <c r="A130">
        <v>100352</v>
      </c>
      <c r="B130" t="s">
        <v>223</v>
      </c>
      <c r="C130" t="s">
        <v>209</v>
      </c>
      <c r="D130" t="s">
        <v>2322</v>
      </c>
      <c r="E130" t="s">
        <v>2300</v>
      </c>
      <c r="F130" t="s">
        <v>762</v>
      </c>
      <c r="G130" t="s">
        <v>762</v>
      </c>
      <c r="H130" t="s">
        <v>969</v>
      </c>
      <c r="I130" t="s">
        <v>994</v>
      </c>
      <c r="J130" t="s">
        <v>969</v>
      </c>
      <c r="L130">
        <v>60</v>
      </c>
      <c r="M130" t="s">
        <v>353</v>
      </c>
      <c r="N130" t="s">
        <v>354</v>
      </c>
      <c r="O130">
        <v>60</v>
      </c>
      <c r="P130" t="s">
        <v>353</v>
      </c>
      <c r="Q130" t="s">
        <v>758</v>
      </c>
      <c r="R130" t="s">
        <v>564</v>
      </c>
      <c r="U130"/>
      <c r="V130"/>
      <c r="W130"/>
      <c r="AB130"/>
      <c r="AC130"/>
      <c r="AF130">
        <v>20</v>
      </c>
      <c r="AG130">
        <v>5</v>
      </c>
      <c r="AH130">
        <v>0</v>
      </c>
      <c r="AI130">
        <v>20</v>
      </c>
      <c r="AJ130">
        <v>0</v>
      </c>
      <c r="AK130">
        <v>0</v>
      </c>
      <c r="AL130">
        <v>2</v>
      </c>
      <c r="AM130">
        <v>0.3</v>
      </c>
      <c r="AO130">
        <v>0</v>
      </c>
      <c r="AP130">
        <v>40</v>
      </c>
      <c r="AQ130">
        <v>3</v>
      </c>
      <c r="AR130">
        <v>0</v>
      </c>
      <c r="AS130">
        <v>0</v>
      </c>
      <c r="AT130">
        <v>0</v>
      </c>
      <c r="AV130">
        <v>226</v>
      </c>
      <c r="AW130" t="s">
        <v>372</v>
      </c>
      <c r="AX130" t="b">
        <v>1</v>
      </c>
      <c r="AY130" t="s">
        <v>359</v>
      </c>
      <c r="AZ130" t="s">
        <v>359</v>
      </c>
      <c r="BA130" t="s">
        <v>359</v>
      </c>
      <c r="BB130" t="s">
        <v>359</v>
      </c>
      <c r="BC130" t="s">
        <v>359</v>
      </c>
      <c r="BD130" t="s">
        <v>359</v>
      </c>
      <c r="BE130" t="s">
        <v>359</v>
      </c>
      <c r="BF130" t="s">
        <v>359</v>
      </c>
      <c r="BG130" t="s">
        <v>359</v>
      </c>
      <c r="BH130" t="s">
        <v>2296</v>
      </c>
      <c r="BK130" t="s">
        <v>2297</v>
      </c>
      <c r="BL130" t="s">
        <v>2298</v>
      </c>
      <c r="BM130" t="s">
        <v>996</v>
      </c>
      <c r="BN130" t="b">
        <v>0</v>
      </c>
      <c r="BO130" s="83"/>
    </row>
    <row r="131" spans="1:67">
      <c r="A131" s="73">
        <v>100352</v>
      </c>
      <c r="B131" s="82" t="s">
        <v>223</v>
      </c>
      <c r="C131" s="82" t="s">
        <v>209</v>
      </c>
      <c r="D131" s="82" t="s">
        <v>997</v>
      </c>
      <c r="E131" t="s">
        <v>974</v>
      </c>
      <c r="F131" s="82" t="s">
        <v>839</v>
      </c>
      <c r="G131" s="82" t="s">
        <v>839</v>
      </c>
      <c r="H131" s="82" t="s">
        <v>998</v>
      </c>
      <c r="I131" s="82" t="s">
        <v>999</v>
      </c>
      <c r="J131" s="82" t="s">
        <v>977</v>
      </c>
      <c r="K131" s="82" t="s">
        <v>370</v>
      </c>
      <c r="L131" s="82">
        <v>86</v>
      </c>
      <c r="M131" s="82" t="s">
        <v>353</v>
      </c>
      <c r="N131" s="82" t="s">
        <v>354</v>
      </c>
      <c r="O131" s="82">
        <v>86</v>
      </c>
      <c r="P131" s="82" t="s">
        <v>353</v>
      </c>
      <c r="Q131" s="82" t="s">
        <v>638</v>
      </c>
      <c r="R131" s="82" t="s">
        <v>474</v>
      </c>
      <c r="S131" s="82"/>
      <c r="T131" s="82"/>
      <c r="U131" s="82"/>
      <c r="V131" s="82"/>
      <c r="W131" s="82"/>
      <c r="X131" s="82"/>
      <c r="Y131" s="82"/>
      <c r="Z131" s="82"/>
      <c r="AA131" s="82"/>
      <c r="AB131" s="82"/>
      <c r="AC131" s="82"/>
      <c r="AD131" s="82"/>
      <c r="AE131" s="82"/>
      <c r="AF131" s="82">
        <v>30</v>
      </c>
      <c r="AG131" s="82">
        <v>7</v>
      </c>
      <c r="AH131" s="82">
        <v>0</v>
      </c>
      <c r="AI131" s="82">
        <v>30</v>
      </c>
      <c r="AJ131" s="82">
        <v>0</v>
      </c>
      <c r="AK131" s="82">
        <v>0</v>
      </c>
      <c r="AL131" s="82">
        <v>3</v>
      </c>
      <c r="AM131" s="82">
        <v>0.4</v>
      </c>
      <c r="AN131" s="82">
        <v>200</v>
      </c>
      <c r="AO131" s="82">
        <v>0</v>
      </c>
      <c r="AP131" s="82">
        <v>60</v>
      </c>
      <c r="AQ131" s="82">
        <v>4</v>
      </c>
      <c r="AR131" s="82">
        <v>0</v>
      </c>
      <c r="AS131" s="82">
        <v>0</v>
      </c>
      <c r="AT131" s="82">
        <v>0</v>
      </c>
      <c r="AU131" s="82" t="s">
        <v>357</v>
      </c>
      <c r="AV131" s="82">
        <v>239</v>
      </c>
      <c r="AW131" s="82" t="s">
        <v>358</v>
      </c>
      <c r="AX131" s="82" t="b">
        <v>1</v>
      </c>
      <c r="AY131" s="82" t="s">
        <v>359</v>
      </c>
      <c r="AZ131" s="82" t="s">
        <v>359</v>
      </c>
      <c r="BA131" s="82" t="s">
        <v>359</v>
      </c>
      <c r="BB131" s="82" t="s">
        <v>359</v>
      </c>
      <c r="BC131" s="82" t="s">
        <v>359</v>
      </c>
      <c r="BD131" s="82" t="s">
        <v>359</v>
      </c>
      <c r="BE131" s="82" t="s">
        <v>359</v>
      </c>
      <c r="BF131" s="82" t="s">
        <v>359</v>
      </c>
      <c r="BG131" s="82" t="s">
        <v>359</v>
      </c>
      <c r="BH131" s="82" t="s">
        <v>852</v>
      </c>
      <c r="BI131" s="82"/>
      <c r="BJ131" s="82"/>
      <c r="BK131" t="s">
        <v>2297</v>
      </c>
      <c r="BL131" t="s">
        <v>2358</v>
      </c>
      <c r="BM131" s="82" t="s">
        <v>996</v>
      </c>
      <c r="BN131" s="82" t="b">
        <v>0</v>
      </c>
      <c r="BO131" s="83"/>
    </row>
    <row r="132" spans="1:67">
      <c r="A132" s="100">
        <v>100356</v>
      </c>
      <c r="B132" s="89" t="s">
        <v>225</v>
      </c>
      <c r="C132" s="89" t="s">
        <v>209</v>
      </c>
      <c r="D132" s="89" t="s">
        <v>1001</v>
      </c>
      <c r="E132" s="82" t="s">
        <v>1980</v>
      </c>
      <c r="F132" s="82" t="s">
        <v>1916</v>
      </c>
      <c r="G132" s="89" t="s">
        <v>762</v>
      </c>
      <c r="H132" s="89" t="s">
        <v>969</v>
      </c>
      <c r="I132" s="89" t="s">
        <v>1002</v>
      </c>
      <c r="J132" s="89" t="s">
        <v>969</v>
      </c>
      <c r="K132" s="89"/>
      <c r="L132" s="104">
        <v>80</v>
      </c>
      <c r="M132" s="89" t="s">
        <v>353</v>
      </c>
      <c r="N132" s="89" t="s">
        <v>354</v>
      </c>
      <c r="O132" s="104">
        <v>80</v>
      </c>
      <c r="P132" s="89" t="s">
        <v>353</v>
      </c>
      <c r="Q132" s="89" t="s">
        <v>630</v>
      </c>
      <c r="R132" s="89" t="s">
        <v>564</v>
      </c>
      <c r="S132" s="89"/>
      <c r="T132" s="89"/>
      <c r="U132" s="93"/>
      <c r="V132" s="93"/>
      <c r="W132" s="93"/>
      <c r="X132" s="89"/>
      <c r="Y132" s="89"/>
      <c r="Z132" s="89"/>
      <c r="AA132" s="89"/>
      <c r="AB132" s="93"/>
      <c r="AC132" s="93"/>
      <c r="AD132" s="89"/>
      <c r="AE132" s="89"/>
      <c r="AF132" s="89">
        <v>7</v>
      </c>
      <c r="AG132" s="89">
        <v>16</v>
      </c>
      <c r="AH132" s="89">
        <v>0</v>
      </c>
      <c r="AI132" s="89">
        <v>70</v>
      </c>
      <c r="AJ132" s="89">
        <v>0</v>
      </c>
      <c r="AK132" s="89">
        <v>0</v>
      </c>
      <c r="AL132" s="89">
        <v>1</v>
      </c>
      <c r="AM132" s="89">
        <v>1</v>
      </c>
      <c r="AN132" s="89">
        <v>436</v>
      </c>
      <c r="AO132" s="89">
        <v>2</v>
      </c>
      <c r="AP132" s="89">
        <v>10</v>
      </c>
      <c r="AQ132" s="89">
        <v>1</v>
      </c>
      <c r="AR132" s="89">
        <v>0</v>
      </c>
      <c r="AS132" s="89">
        <v>0</v>
      </c>
      <c r="AT132" s="89">
        <v>0</v>
      </c>
      <c r="AU132" s="89"/>
      <c r="AV132" s="104">
        <f>28*6</f>
        <v>168</v>
      </c>
      <c r="AW132" s="89" t="s">
        <v>358</v>
      </c>
      <c r="AX132" s="106" t="s">
        <v>373</v>
      </c>
      <c r="AY132" s="89" t="s">
        <v>359</v>
      </c>
      <c r="AZ132" s="89" t="s">
        <v>359</v>
      </c>
      <c r="BA132" s="89" t="s">
        <v>359</v>
      </c>
      <c r="BB132" s="89" t="s">
        <v>359</v>
      </c>
      <c r="BC132" s="89" t="s">
        <v>359</v>
      </c>
      <c r="BD132" s="89" t="s">
        <v>359</v>
      </c>
      <c r="BE132" s="89" t="s">
        <v>359</v>
      </c>
      <c r="BF132" s="89" t="s">
        <v>359</v>
      </c>
      <c r="BG132" s="89" t="s">
        <v>359</v>
      </c>
      <c r="BH132" s="89" t="s">
        <v>766</v>
      </c>
      <c r="BI132" s="89"/>
      <c r="BJ132" s="89"/>
      <c r="BK132" s="82" t="s">
        <v>1990</v>
      </c>
      <c r="BL132" s="82" t="s">
        <v>1993</v>
      </c>
      <c r="BM132" s="89" t="s">
        <v>1003</v>
      </c>
      <c r="BN132" s="89" t="b">
        <v>0</v>
      </c>
      <c r="BO132" s="83"/>
    </row>
    <row r="133" spans="1:67">
      <c r="A133" s="100">
        <v>100359</v>
      </c>
      <c r="B133" s="89" t="s">
        <v>159</v>
      </c>
      <c r="C133" s="89" t="s">
        <v>158</v>
      </c>
      <c r="D133" s="89" t="s">
        <v>1004</v>
      </c>
      <c r="E133" s="89" t="s">
        <v>625</v>
      </c>
      <c r="F133" s="89" t="s">
        <v>626</v>
      </c>
      <c r="G133" s="89" t="s">
        <v>626</v>
      </c>
      <c r="H133" s="89" t="s">
        <v>1005</v>
      </c>
      <c r="I133" s="89" t="s">
        <v>1006</v>
      </c>
      <c r="J133" s="89" t="s">
        <v>1007</v>
      </c>
      <c r="K133" s="89"/>
      <c r="L133" s="89">
        <v>130</v>
      </c>
      <c r="M133" s="89" t="s">
        <v>353</v>
      </c>
      <c r="N133" s="89" t="s">
        <v>354</v>
      </c>
      <c r="O133" s="89">
        <v>130</v>
      </c>
      <c r="P133" s="89" t="s">
        <v>353</v>
      </c>
      <c r="Q133" s="89" t="s">
        <v>630</v>
      </c>
      <c r="R133" s="89" t="s">
        <v>474</v>
      </c>
      <c r="S133" s="89"/>
      <c r="T133" s="89"/>
      <c r="U133" s="93"/>
      <c r="V133" s="93"/>
      <c r="W133" s="93"/>
      <c r="X133" s="89"/>
      <c r="Y133" s="89"/>
      <c r="Z133" s="89"/>
      <c r="AA133" s="89"/>
      <c r="AB133" s="93"/>
      <c r="AC133" s="93"/>
      <c r="AD133" s="89"/>
      <c r="AE133" s="89"/>
      <c r="AF133" s="89">
        <v>38</v>
      </c>
      <c r="AG133" s="89">
        <v>18</v>
      </c>
      <c r="AH133" s="89">
        <v>0</v>
      </c>
      <c r="AI133" s="89">
        <v>100</v>
      </c>
      <c r="AJ133" s="89">
        <v>0</v>
      </c>
      <c r="AK133" s="89">
        <v>0</v>
      </c>
      <c r="AL133" s="89">
        <v>6</v>
      </c>
      <c r="AM133" s="89">
        <v>2.39</v>
      </c>
      <c r="AN133" s="89"/>
      <c r="AO133" s="89">
        <v>7</v>
      </c>
      <c r="AP133" s="89">
        <v>140</v>
      </c>
      <c r="AQ133" s="89">
        <v>2</v>
      </c>
      <c r="AR133" s="89"/>
      <c r="AS133" s="89">
        <v>0</v>
      </c>
      <c r="AT133" s="89">
        <v>0</v>
      </c>
      <c r="AU133" s="89"/>
      <c r="AV133" s="89">
        <f>24*6</f>
        <v>144</v>
      </c>
      <c r="AW133" s="89" t="s">
        <v>372</v>
      </c>
      <c r="AX133" s="89" t="s">
        <v>373</v>
      </c>
      <c r="AY133" s="89" t="s">
        <v>359</v>
      </c>
      <c r="AZ133" s="89" t="s">
        <v>359</v>
      </c>
      <c r="BA133" s="89" t="s">
        <v>359</v>
      </c>
      <c r="BB133" s="89" t="s">
        <v>359</v>
      </c>
      <c r="BC133" s="89"/>
      <c r="BD133" s="89" t="s">
        <v>359</v>
      </c>
      <c r="BE133" s="89" t="s">
        <v>359</v>
      </c>
      <c r="BF133" s="89" t="s">
        <v>359</v>
      </c>
      <c r="BG133" s="89" t="s">
        <v>359</v>
      </c>
      <c r="BH133" s="89" t="s">
        <v>632</v>
      </c>
      <c r="BI133" s="89"/>
      <c r="BJ133" s="89"/>
      <c r="BK133" s="74">
        <v>45048.440335648149</v>
      </c>
      <c r="BL133" s="74">
        <v>45022.565648148149</v>
      </c>
      <c r="BM133" s="89" t="s">
        <v>1008</v>
      </c>
      <c r="BN133" s="89" t="b">
        <v>0</v>
      </c>
      <c r="BO133" s="83"/>
    </row>
    <row r="134" spans="1:67">
      <c r="A134" s="100">
        <v>100359</v>
      </c>
      <c r="B134" s="89" t="s">
        <v>159</v>
      </c>
      <c r="C134" s="89" t="s">
        <v>158</v>
      </c>
      <c r="D134" s="89" t="s">
        <v>1009</v>
      </c>
      <c r="E134" s="89" t="s">
        <v>625</v>
      </c>
      <c r="F134" s="89" t="s">
        <v>626</v>
      </c>
      <c r="G134" s="89" t="s">
        <v>626</v>
      </c>
      <c r="H134" s="89" t="s">
        <v>1010</v>
      </c>
      <c r="I134" s="89" t="s">
        <v>1011</v>
      </c>
      <c r="J134" s="89" t="s">
        <v>1007</v>
      </c>
      <c r="K134" s="89"/>
      <c r="L134" s="89">
        <v>130</v>
      </c>
      <c r="M134" s="89" t="s">
        <v>353</v>
      </c>
      <c r="N134" s="89" t="s">
        <v>354</v>
      </c>
      <c r="O134" s="89">
        <v>130</v>
      </c>
      <c r="P134" s="89" t="s">
        <v>353</v>
      </c>
      <c r="Q134" s="89" t="s">
        <v>630</v>
      </c>
      <c r="R134" s="89" t="s">
        <v>474</v>
      </c>
      <c r="S134" s="89"/>
      <c r="T134" s="89"/>
      <c r="U134" s="93"/>
      <c r="V134" s="93"/>
      <c r="W134" s="93"/>
      <c r="X134" s="89"/>
      <c r="Y134" s="89"/>
      <c r="Z134" s="89"/>
      <c r="AA134" s="89"/>
      <c r="AB134" s="93"/>
      <c r="AC134" s="93"/>
      <c r="AD134" s="89"/>
      <c r="AE134" s="89"/>
      <c r="AF134" s="89">
        <v>38</v>
      </c>
      <c r="AG134" s="89">
        <v>18</v>
      </c>
      <c r="AH134" s="89">
        <v>0</v>
      </c>
      <c r="AI134" s="89">
        <v>100</v>
      </c>
      <c r="AJ134" s="89">
        <v>0</v>
      </c>
      <c r="AK134" s="89">
        <v>0</v>
      </c>
      <c r="AL134" s="89">
        <v>6</v>
      </c>
      <c r="AM134" s="89">
        <v>2.39</v>
      </c>
      <c r="AN134" s="89"/>
      <c r="AO134" s="89">
        <v>7</v>
      </c>
      <c r="AP134" s="89">
        <v>140</v>
      </c>
      <c r="AQ134" s="89">
        <v>2</v>
      </c>
      <c r="AR134" s="89"/>
      <c r="AS134" s="89">
        <v>0</v>
      </c>
      <c r="AT134" s="89">
        <v>0</v>
      </c>
      <c r="AU134" s="89"/>
      <c r="AV134" s="89">
        <f>24*6</f>
        <v>144</v>
      </c>
      <c r="AW134" s="89" t="s">
        <v>372</v>
      </c>
      <c r="AX134" s="89" t="s">
        <v>373</v>
      </c>
      <c r="AY134" s="89" t="s">
        <v>359</v>
      </c>
      <c r="AZ134" s="89" t="s">
        <v>359</v>
      </c>
      <c r="BA134" s="89" t="s">
        <v>359</v>
      </c>
      <c r="BB134" s="89" t="s">
        <v>359</v>
      </c>
      <c r="BC134" s="89" t="s">
        <v>359</v>
      </c>
      <c r="BD134" s="89" t="s">
        <v>359</v>
      </c>
      <c r="BE134" s="89" t="s">
        <v>359</v>
      </c>
      <c r="BF134" s="89" t="s">
        <v>359</v>
      </c>
      <c r="BG134" s="89" t="s">
        <v>359</v>
      </c>
      <c r="BH134" s="89" t="s">
        <v>1012</v>
      </c>
      <c r="BI134" s="89"/>
      <c r="BJ134" s="89"/>
      <c r="BK134" s="74">
        <v>45048.433194444442</v>
      </c>
      <c r="BL134" s="74">
        <v>45022.565648148149</v>
      </c>
      <c r="BM134" s="89" t="s">
        <v>1008</v>
      </c>
      <c r="BN134" s="89" t="b">
        <v>0</v>
      </c>
      <c r="BO134" s="83"/>
    </row>
    <row r="135" spans="1:67">
      <c r="A135" s="73">
        <v>100359</v>
      </c>
      <c r="B135" s="82" t="s">
        <v>159</v>
      </c>
      <c r="C135" s="82" t="s">
        <v>158</v>
      </c>
      <c r="D135" s="82" t="s">
        <v>1013</v>
      </c>
      <c r="E135" s="82" t="s">
        <v>1014</v>
      </c>
      <c r="F135" s="82" t="s">
        <v>1015</v>
      </c>
      <c r="G135" s="82" t="s">
        <v>1016</v>
      </c>
      <c r="H135" s="83" t="s">
        <v>1017</v>
      </c>
      <c r="I135" s="83" t="s">
        <v>1017</v>
      </c>
      <c r="J135" s="83" t="s">
        <v>1018</v>
      </c>
      <c r="K135" s="83"/>
      <c r="L135" s="85">
        <v>130</v>
      </c>
      <c r="M135" s="83" t="s">
        <v>353</v>
      </c>
      <c r="N135" s="82" t="s">
        <v>354</v>
      </c>
      <c r="O135" s="82"/>
      <c r="P135" s="82"/>
      <c r="Q135" s="89" t="s">
        <v>630</v>
      </c>
      <c r="R135" s="83" t="s">
        <v>564</v>
      </c>
      <c r="S135" s="83"/>
      <c r="T135" s="83"/>
      <c r="U135" s="84"/>
      <c r="V135" s="84"/>
      <c r="W135" s="84"/>
      <c r="X135" s="83"/>
      <c r="Y135" s="83"/>
      <c r="Z135" s="83"/>
      <c r="AA135" s="83"/>
      <c r="AB135" s="84"/>
      <c r="AC135" s="84"/>
      <c r="AD135" s="83"/>
      <c r="AE135" s="83"/>
      <c r="AF135" s="83">
        <v>50</v>
      </c>
      <c r="AG135" s="83">
        <v>19</v>
      </c>
      <c r="AH135" s="83">
        <v>0</v>
      </c>
      <c r="AI135" s="83">
        <v>110</v>
      </c>
      <c r="AJ135" s="83">
        <v>0</v>
      </c>
      <c r="AK135" s="83">
        <v>0</v>
      </c>
      <c r="AL135" s="83">
        <v>7</v>
      </c>
      <c r="AM135" s="83">
        <v>2</v>
      </c>
      <c r="AN135" s="83">
        <v>480</v>
      </c>
      <c r="AO135" s="83">
        <v>2</v>
      </c>
      <c r="AP135" s="83">
        <v>140</v>
      </c>
      <c r="AQ135" s="83">
        <v>2</v>
      </c>
      <c r="AR135" s="82">
        <v>0</v>
      </c>
      <c r="AS135" s="82">
        <v>1</v>
      </c>
      <c r="AT135" s="82">
        <v>0</v>
      </c>
      <c r="AU135" s="82"/>
      <c r="AV135" s="83">
        <f>24*6</f>
        <v>144</v>
      </c>
      <c r="AW135" s="82" t="s">
        <v>372</v>
      </c>
      <c r="AX135" s="82" t="b">
        <v>1</v>
      </c>
      <c r="AY135" s="82" t="s">
        <v>359</v>
      </c>
      <c r="AZ135" s="82" t="s">
        <v>359</v>
      </c>
      <c r="BA135" s="82" t="s">
        <v>359</v>
      </c>
      <c r="BB135" s="82" t="s">
        <v>359</v>
      </c>
      <c r="BC135" s="82" t="s">
        <v>359</v>
      </c>
      <c r="BD135" s="82" t="s">
        <v>359</v>
      </c>
      <c r="BE135" s="82" t="s">
        <v>359</v>
      </c>
      <c r="BF135" s="82" t="s">
        <v>359</v>
      </c>
      <c r="BG135" s="82" t="s">
        <v>359</v>
      </c>
      <c r="BH135" s="82" t="s">
        <v>1019</v>
      </c>
      <c r="BI135" s="82"/>
      <c r="BJ135" s="82"/>
      <c r="BK135" s="74">
        <v>45201.420428240737</v>
      </c>
      <c r="BL135" s="74">
        <v>45187.817361111112</v>
      </c>
      <c r="BM135" s="83" t="s">
        <v>1020</v>
      </c>
      <c r="BN135" s="83" t="b">
        <v>0</v>
      </c>
      <c r="BO135" s="89"/>
    </row>
    <row r="136" spans="1:67">
      <c r="A136" s="85">
        <v>100360</v>
      </c>
      <c r="B136" s="83" t="s">
        <v>160</v>
      </c>
      <c r="C136" s="83" t="s">
        <v>158</v>
      </c>
      <c r="D136" s="83" t="s">
        <v>1021</v>
      </c>
      <c r="E136" s="83" t="s">
        <v>1014</v>
      </c>
      <c r="F136" s="83" t="s">
        <v>1015</v>
      </c>
      <c r="G136" s="82" t="s">
        <v>1016</v>
      </c>
      <c r="H136" s="83" t="s">
        <v>1022</v>
      </c>
      <c r="I136" s="83" t="s">
        <v>1022</v>
      </c>
      <c r="J136" s="83" t="s">
        <v>1022</v>
      </c>
      <c r="K136" s="83"/>
      <c r="L136" s="85">
        <v>130</v>
      </c>
      <c r="M136" s="83" t="s">
        <v>353</v>
      </c>
      <c r="N136" s="83" t="s">
        <v>354</v>
      </c>
      <c r="O136" s="83"/>
      <c r="P136" s="83"/>
      <c r="Q136" s="89" t="s">
        <v>630</v>
      </c>
      <c r="R136" s="83" t="s">
        <v>564</v>
      </c>
      <c r="S136" s="83"/>
      <c r="T136" s="83"/>
      <c r="U136" s="83"/>
      <c r="V136" s="83"/>
      <c r="W136" s="83"/>
      <c r="X136" s="83"/>
      <c r="Y136" s="83"/>
      <c r="Z136" s="83"/>
      <c r="AA136" s="83"/>
      <c r="AB136" s="83"/>
      <c r="AC136" s="83"/>
      <c r="AD136" s="83"/>
      <c r="AE136" s="83"/>
      <c r="AF136" s="83">
        <v>20</v>
      </c>
      <c r="AG136" s="83">
        <v>18</v>
      </c>
      <c r="AH136" s="83">
        <v>0</v>
      </c>
      <c r="AI136" s="83">
        <v>110</v>
      </c>
      <c r="AJ136" s="83">
        <v>0</v>
      </c>
      <c r="AK136" s="83">
        <v>0</v>
      </c>
      <c r="AL136" s="83">
        <v>6</v>
      </c>
      <c r="AM136" s="83">
        <v>1.1000000000000001</v>
      </c>
      <c r="AN136" s="83">
        <v>310</v>
      </c>
      <c r="AO136" s="83">
        <v>6</v>
      </c>
      <c r="AP136" s="83">
        <v>140</v>
      </c>
      <c r="AQ136" s="83">
        <v>2</v>
      </c>
      <c r="AR136" s="83">
        <v>0</v>
      </c>
      <c r="AS136" s="83">
        <v>1</v>
      </c>
      <c r="AT136" s="83">
        <v>0</v>
      </c>
      <c r="AU136" s="83"/>
      <c r="AV136" s="83">
        <f>24*6</f>
        <v>144</v>
      </c>
      <c r="AW136" s="83" t="s">
        <v>372</v>
      </c>
      <c r="AX136" s="83" t="b">
        <v>1</v>
      </c>
      <c r="AY136" s="83" t="s">
        <v>359</v>
      </c>
      <c r="AZ136" s="83" t="s">
        <v>359</v>
      </c>
      <c r="BA136" s="83" t="s">
        <v>359</v>
      </c>
      <c r="BB136" s="83" t="s">
        <v>359</v>
      </c>
      <c r="BC136" s="83" t="s">
        <v>359</v>
      </c>
      <c r="BD136" s="83" t="s">
        <v>359</v>
      </c>
      <c r="BE136" s="83" t="s">
        <v>359</v>
      </c>
      <c r="BF136" s="83" t="s">
        <v>359</v>
      </c>
      <c r="BG136" s="83" t="s">
        <v>359</v>
      </c>
      <c r="BH136" s="83" t="s">
        <v>1019</v>
      </c>
      <c r="BI136" s="82" t="s">
        <v>656</v>
      </c>
      <c r="BJ136" s="82"/>
      <c r="BK136" s="74">
        <v>45201.381597222222</v>
      </c>
      <c r="BL136" s="74">
        <v>45187.817361111112</v>
      </c>
      <c r="BM136" s="83" t="s">
        <v>1023</v>
      </c>
      <c r="BN136" s="83" t="b">
        <v>0</v>
      </c>
      <c r="BO136" s="86"/>
    </row>
    <row r="137" spans="1:67">
      <c r="A137" s="100">
        <v>100362</v>
      </c>
      <c r="B137" s="89" t="s">
        <v>161</v>
      </c>
      <c r="C137" s="89" t="s">
        <v>158</v>
      </c>
      <c r="D137" s="89" t="s">
        <v>1024</v>
      </c>
      <c r="E137" s="89" t="s">
        <v>838</v>
      </c>
      <c r="F137" s="89" t="s">
        <v>839</v>
      </c>
      <c r="G137" s="89" t="s">
        <v>839</v>
      </c>
      <c r="H137" s="89" t="s">
        <v>1025</v>
      </c>
      <c r="I137" s="89" t="s">
        <v>1026</v>
      </c>
      <c r="J137" s="89" t="s">
        <v>842</v>
      </c>
      <c r="K137" s="89" t="s">
        <v>370</v>
      </c>
      <c r="L137" s="82">
        <v>130</v>
      </c>
      <c r="M137" s="82" t="s">
        <v>353</v>
      </c>
      <c r="N137" s="82" t="s">
        <v>354</v>
      </c>
      <c r="O137" s="82">
        <v>130</v>
      </c>
      <c r="P137" s="82" t="s">
        <v>353</v>
      </c>
      <c r="Q137" s="82" t="s">
        <v>630</v>
      </c>
      <c r="R137" s="82" t="s">
        <v>474</v>
      </c>
      <c r="S137" s="89"/>
      <c r="T137" s="89"/>
      <c r="U137" s="93"/>
      <c r="V137" s="93"/>
      <c r="W137" s="93"/>
      <c r="X137" s="89"/>
      <c r="Y137" s="89"/>
      <c r="Z137" s="89"/>
      <c r="AA137" s="89"/>
      <c r="AB137" s="93"/>
      <c r="AC137" s="93"/>
      <c r="AD137" s="89"/>
      <c r="AE137" s="89"/>
      <c r="AF137" s="89">
        <v>50</v>
      </c>
      <c r="AG137" s="89">
        <v>24</v>
      </c>
      <c r="AH137" s="89">
        <v>0</v>
      </c>
      <c r="AI137" s="89">
        <v>140</v>
      </c>
      <c r="AJ137" s="89">
        <v>0</v>
      </c>
      <c r="AK137" s="89">
        <v>0</v>
      </c>
      <c r="AL137" s="89">
        <v>6</v>
      </c>
      <c r="AM137" s="89">
        <v>2</v>
      </c>
      <c r="AN137" s="89">
        <v>540</v>
      </c>
      <c r="AO137" s="89">
        <v>8</v>
      </c>
      <c r="AP137" s="89">
        <v>140</v>
      </c>
      <c r="AQ137" s="89">
        <v>1</v>
      </c>
      <c r="AR137" s="89">
        <v>0</v>
      </c>
      <c r="AS137" s="89">
        <v>1.5</v>
      </c>
      <c r="AT137" s="89">
        <v>0</v>
      </c>
      <c r="AU137" s="89" t="s">
        <v>357</v>
      </c>
      <c r="AV137" s="89">
        <f>24*6</f>
        <v>144</v>
      </c>
      <c r="AW137" s="89" t="s">
        <v>372</v>
      </c>
      <c r="AX137" s="89" t="s">
        <v>373</v>
      </c>
      <c r="AY137" s="89" t="s">
        <v>359</v>
      </c>
      <c r="AZ137" s="89" t="s">
        <v>359</v>
      </c>
      <c r="BA137" s="89" t="s">
        <v>359</v>
      </c>
      <c r="BB137" s="89" t="s">
        <v>359</v>
      </c>
      <c r="BC137" s="89" t="s">
        <v>359</v>
      </c>
      <c r="BD137" s="89" t="s">
        <v>359</v>
      </c>
      <c r="BE137" s="89" t="s">
        <v>359</v>
      </c>
      <c r="BF137" s="89" t="s">
        <v>359</v>
      </c>
      <c r="BG137" s="89" t="s">
        <v>359</v>
      </c>
      <c r="BH137" s="89" t="s">
        <v>852</v>
      </c>
      <c r="BI137" s="89"/>
      <c r="BJ137" s="89"/>
      <c r="BK137" s="74">
        <v>45293.449386574073</v>
      </c>
      <c r="BL137" s="74">
        <v>45273.35601851852</v>
      </c>
      <c r="BM137" s="89" t="s">
        <v>1027</v>
      </c>
      <c r="BN137" s="89" t="b">
        <v>0</v>
      </c>
      <c r="BO137" s="83"/>
    </row>
    <row r="138" spans="1:67">
      <c r="A138" s="100">
        <v>100364</v>
      </c>
      <c r="B138" s="89" t="s">
        <v>162</v>
      </c>
      <c r="C138" s="89" t="s">
        <v>158</v>
      </c>
      <c r="D138" s="89" t="s">
        <v>1028</v>
      </c>
      <c r="E138" s="89" t="s">
        <v>828</v>
      </c>
      <c r="F138" s="89" t="s">
        <v>829</v>
      </c>
      <c r="G138" s="89" t="s">
        <v>829</v>
      </c>
      <c r="H138" s="82" t="s">
        <v>1931</v>
      </c>
      <c r="I138" s="89" t="s">
        <v>1029</v>
      </c>
      <c r="J138" s="89" t="s">
        <v>1029</v>
      </c>
      <c r="K138" s="89" t="s">
        <v>370</v>
      </c>
      <c r="L138" s="89">
        <v>130</v>
      </c>
      <c r="M138" s="89" t="s">
        <v>353</v>
      </c>
      <c r="N138" s="89" t="s">
        <v>354</v>
      </c>
      <c r="O138" s="82">
        <v>2000</v>
      </c>
      <c r="P138" s="82" t="s">
        <v>1932</v>
      </c>
      <c r="Q138" s="89" t="s">
        <v>630</v>
      </c>
      <c r="R138" s="89" t="s">
        <v>564</v>
      </c>
      <c r="S138" s="89"/>
      <c r="T138" s="89"/>
      <c r="U138" s="93"/>
      <c r="V138" s="93"/>
      <c r="W138" s="93"/>
      <c r="X138" s="89"/>
      <c r="Y138" s="89"/>
      <c r="Z138" s="89"/>
      <c r="AA138" s="89"/>
      <c r="AB138" s="93"/>
      <c r="AC138" s="93"/>
      <c r="AD138" s="89"/>
      <c r="AE138" s="89"/>
      <c r="AF138" s="89">
        <v>60</v>
      </c>
      <c r="AG138" s="89">
        <v>27</v>
      </c>
      <c r="AH138" s="89">
        <v>0</v>
      </c>
      <c r="AI138" s="89">
        <v>140</v>
      </c>
      <c r="AJ138" s="89">
        <v>0</v>
      </c>
      <c r="AK138" s="89">
        <v>0</v>
      </c>
      <c r="AL138" s="89">
        <v>7</v>
      </c>
      <c r="AM138" s="89">
        <v>2</v>
      </c>
      <c r="AN138" s="89">
        <v>450</v>
      </c>
      <c r="AO138" s="89">
        <v>8</v>
      </c>
      <c r="AP138" s="89">
        <v>125</v>
      </c>
      <c r="AQ138" s="89">
        <v>5</v>
      </c>
      <c r="AR138" s="89">
        <v>4</v>
      </c>
      <c r="AS138" s="89">
        <v>0.5</v>
      </c>
      <c r="AT138" s="89">
        <v>0</v>
      </c>
      <c r="AU138" s="89"/>
      <c r="AV138" s="100">
        <v>144</v>
      </c>
      <c r="AW138" s="89" t="s">
        <v>358</v>
      </c>
      <c r="AX138" s="89"/>
      <c r="AY138" s="89" t="s">
        <v>359</v>
      </c>
      <c r="AZ138" s="89" t="s">
        <v>359</v>
      </c>
      <c r="BA138" s="89" t="s">
        <v>359</v>
      </c>
      <c r="BB138" s="89" t="s">
        <v>359</v>
      </c>
      <c r="BC138" s="89" t="s">
        <v>359</v>
      </c>
      <c r="BD138" s="89" t="s">
        <v>359</v>
      </c>
      <c r="BE138" s="89" t="s">
        <v>359</v>
      </c>
      <c r="BF138" s="89" t="s">
        <v>359</v>
      </c>
      <c r="BG138" s="89" t="s">
        <v>359</v>
      </c>
      <c r="BH138" s="89" t="s">
        <v>867</v>
      </c>
      <c r="BI138" s="89"/>
      <c r="BJ138" s="89"/>
      <c r="BK138" s="82" t="s">
        <v>1909</v>
      </c>
      <c r="BL138" s="82" t="s">
        <v>1933</v>
      </c>
      <c r="BM138" s="82" t="s">
        <v>1934</v>
      </c>
      <c r="BN138" s="82" t="b">
        <v>0</v>
      </c>
      <c r="BO138" s="89"/>
    </row>
    <row r="139" spans="1:67">
      <c r="A139" s="73">
        <v>100364</v>
      </c>
      <c r="B139" s="82" t="s">
        <v>162</v>
      </c>
      <c r="C139" s="82" t="s">
        <v>158</v>
      </c>
      <c r="D139" s="83" t="s">
        <v>1030</v>
      </c>
      <c r="E139" s="83" t="s">
        <v>1014</v>
      </c>
      <c r="F139" s="83" t="s">
        <v>1015</v>
      </c>
      <c r="G139" s="83" t="s">
        <v>1015</v>
      </c>
      <c r="H139" s="83" t="s">
        <v>1029</v>
      </c>
      <c r="I139" s="83" t="s">
        <v>1029</v>
      </c>
      <c r="J139" s="83" t="s">
        <v>1029</v>
      </c>
      <c r="K139" s="83"/>
      <c r="L139" s="85">
        <v>130</v>
      </c>
      <c r="M139" s="83" t="s">
        <v>353</v>
      </c>
      <c r="N139" s="82" t="s">
        <v>354</v>
      </c>
      <c r="O139" s="83"/>
      <c r="P139" s="83"/>
      <c r="Q139" s="89" t="s">
        <v>630</v>
      </c>
      <c r="R139" s="83" t="s">
        <v>564</v>
      </c>
      <c r="S139" s="83"/>
      <c r="T139" s="83"/>
      <c r="U139" s="84"/>
      <c r="V139" s="84"/>
      <c r="W139" s="84"/>
      <c r="X139" s="83"/>
      <c r="Y139" s="83"/>
      <c r="Z139" s="83"/>
      <c r="AA139" s="83"/>
      <c r="AB139" s="84"/>
      <c r="AC139" s="84"/>
      <c r="AD139" s="83"/>
      <c r="AE139" s="83"/>
      <c r="AF139" s="83">
        <v>50</v>
      </c>
      <c r="AG139" s="83">
        <v>20</v>
      </c>
      <c r="AH139" s="83">
        <v>0</v>
      </c>
      <c r="AI139" s="83">
        <v>130</v>
      </c>
      <c r="AJ139" s="83">
        <v>0</v>
      </c>
      <c r="AK139" s="83">
        <v>0</v>
      </c>
      <c r="AL139" s="83">
        <v>4</v>
      </c>
      <c r="AM139" s="83">
        <v>2.4</v>
      </c>
      <c r="AN139" s="83">
        <v>426</v>
      </c>
      <c r="AO139" s="83">
        <v>6</v>
      </c>
      <c r="AP139" s="83">
        <v>140</v>
      </c>
      <c r="AQ139" s="83">
        <v>5</v>
      </c>
      <c r="AR139" s="83">
        <v>3</v>
      </c>
      <c r="AS139" s="83">
        <v>0</v>
      </c>
      <c r="AT139" s="83">
        <v>0</v>
      </c>
      <c r="AU139" s="83"/>
      <c r="AV139" s="83">
        <f>24*6</f>
        <v>144</v>
      </c>
      <c r="AW139" s="82" t="s">
        <v>372</v>
      </c>
      <c r="AX139" s="82" t="b">
        <v>1</v>
      </c>
      <c r="AY139" s="82" t="s">
        <v>359</v>
      </c>
      <c r="AZ139" s="82" t="s">
        <v>359</v>
      </c>
      <c r="BA139" s="82" t="s">
        <v>359</v>
      </c>
      <c r="BB139" s="82" t="s">
        <v>359</v>
      </c>
      <c r="BC139" s="82" t="s">
        <v>359</v>
      </c>
      <c r="BD139" s="82" t="s">
        <v>359</v>
      </c>
      <c r="BE139" s="82" t="s">
        <v>359</v>
      </c>
      <c r="BF139" s="82" t="s">
        <v>359</v>
      </c>
      <c r="BG139" s="82" t="s">
        <v>359</v>
      </c>
      <c r="BH139" s="82" t="s">
        <v>1031</v>
      </c>
      <c r="BI139" s="83"/>
      <c r="BJ139" s="83"/>
      <c r="BK139" s="74">
        <v>45201.417002314818</v>
      </c>
      <c r="BL139" s="74">
        <v>45187.817361111112</v>
      </c>
      <c r="BM139" s="83" t="s">
        <v>1032</v>
      </c>
      <c r="BN139" s="83" t="b">
        <v>0</v>
      </c>
      <c r="BO139" s="67"/>
    </row>
    <row r="140" spans="1:67">
      <c r="A140" s="100">
        <v>100365</v>
      </c>
      <c r="B140" s="89" t="s">
        <v>163</v>
      </c>
      <c r="C140" s="89" t="s">
        <v>158</v>
      </c>
      <c r="D140" s="89" t="s">
        <v>1033</v>
      </c>
      <c r="E140" s="89" t="s">
        <v>625</v>
      </c>
      <c r="F140" s="89" t="s">
        <v>626</v>
      </c>
      <c r="G140" s="89" t="s">
        <v>626</v>
      </c>
      <c r="H140" s="89" t="s">
        <v>1034</v>
      </c>
      <c r="I140" s="89" t="s">
        <v>1035</v>
      </c>
      <c r="J140" s="89" t="s">
        <v>1036</v>
      </c>
      <c r="K140" s="89"/>
      <c r="L140" s="89">
        <v>130</v>
      </c>
      <c r="M140" s="89" t="s">
        <v>353</v>
      </c>
      <c r="N140" s="89" t="s">
        <v>354</v>
      </c>
      <c r="O140" s="89">
        <v>130</v>
      </c>
      <c r="P140" s="89" t="s">
        <v>353</v>
      </c>
      <c r="Q140" s="89" t="s">
        <v>630</v>
      </c>
      <c r="R140" s="89" t="s">
        <v>474</v>
      </c>
      <c r="S140" s="89"/>
      <c r="T140" s="89"/>
      <c r="U140" s="93"/>
      <c r="V140" s="93"/>
      <c r="W140" s="93"/>
      <c r="X140" s="89"/>
      <c r="Y140" s="89"/>
      <c r="Z140" s="89"/>
      <c r="AA140" s="89"/>
      <c r="AB140" s="93"/>
      <c r="AC140" s="93"/>
      <c r="AD140" s="89"/>
      <c r="AE140" s="89"/>
      <c r="AF140" s="89">
        <v>67</v>
      </c>
      <c r="AG140" s="89">
        <v>17</v>
      </c>
      <c r="AH140" s="89">
        <v>0</v>
      </c>
      <c r="AI140" s="89">
        <v>100</v>
      </c>
      <c r="AJ140" s="89">
        <v>0</v>
      </c>
      <c r="AK140" s="89">
        <v>0</v>
      </c>
      <c r="AL140" s="89">
        <v>9</v>
      </c>
      <c r="AM140" s="89">
        <v>1.32</v>
      </c>
      <c r="AN140" s="89"/>
      <c r="AO140" s="89">
        <v>5</v>
      </c>
      <c r="AP140" s="89">
        <v>140</v>
      </c>
      <c r="AQ140" s="89">
        <v>0</v>
      </c>
      <c r="AR140" s="89"/>
      <c r="AS140" s="89">
        <v>0.5</v>
      </c>
      <c r="AT140" s="89">
        <v>0</v>
      </c>
      <c r="AU140" s="89"/>
      <c r="AV140" s="89">
        <f>24*6</f>
        <v>144</v>
      </c>
      <c r="AW140" s="89" t="s">
        <v>372</v>
      </c>
      <c r="AX140" s="89" t="s">
        <v>373</v>
      </c>
      <c r="AY140" s="89" t="s">
        <v>359</v>
      </c>
      <c r="AZ140" s="89" t="s">
        <v>359</v>
      </c>
      <c r="BA140" s="89" t="s">
        <v>359</v>
      </c>
      <c r="BB140" s="89" t="s">
        <v>359</v>
      </c>
      <c r="BC140" s="89"/>
      <c r="BD140" s="89" t="s">
        <v>359</v>
      </c>
      <c r="BE140" s="89" t="s">
        <v>359</v>
      </c>
      <c r="BF140" s="89" t="s">
        <v>359</v>
      </c>
      <c r="BG140" s="89" t="s">
        <v>359</v>
      </c>
      <c r="BH140" s="89" t="s">
        <v>632</v>
      </c>
      <c r="BI140" s="89" t="s">
        <v>656</v>
      </c>
      <c r="BJ140" s="89"/>
      <c r="BK140" s="74">
        <v>45078.375821759262</v>
      </c>
      <c r="BL140" s="74">
        <v>45051.431805555563</v>
      </c>
      <c r="BM140" s="89" t="s">
        <v>1037</v>
      </c>
      <c r="BN140" s="89" t="b">
        <v>0</v>
      </c>
      <c r="BO140" s="89"/>
    </row>
    <row r="141" spans="1:67">
      <c r="A141" s="100">
        <v>100365</v>
      </c>
      <c r="B141" s="89" t="s">
        <v>163</v>
      </c>
      <c r="C141" s="89" t="s">
        <v>158</v>
      </c>
      <c r="D141" s="89" t="s">
        <v>1038</v>
      </c>
      <c r="E141" s="89" t="s">
        <v>828</v>
      </c>
      <c r="F141" s="89" t="s">
        <v>829</v>
      </c>
      <c r="G141" s="89" t="s">
        <v>829</v>
      </c>
      <c r="H141" s="82" t="s">
        <v>1935</v>
      </c>
      <c r="I141" s="89" t="s">
        <v>1039</v>
      </c>
      <c r="J141" s="89" t="s">
        <v>1039</v>
      </c>
      <c r="K141" s="89" t="s">
        <v>370</v>
      </c>
      <c r="L141" s="89">
        <v>130</v>
      </c>
      <c r="M141" s="89" t="s">
        <v>353</v>
      </c>
      <c r="N141" s="89" t="s">
        <v>354</v>
      </c>
      <c r="O141" s="82">
        <v>2000</v>
      </c>
      <c r="P141" s="82" t="s">
        <v>1932</v>
      </c>
      <c r="Q141" s="89" t="s">
        <v>630</v>
      </c>
      <c r="R141" s="89" t="s">
        <v>564</v>
      </c>
      <c r="S141" s="89"/>
      <c r="T141" s="89"/>
      <c r="U141" s="93"/>
      <c r="V141" s="93"/>
      <c r="W141" s="93"/>
      <c r="X141" s="89"/>
      <c r="Y141" s="89"/>
      <c r="Z141" s="89"/>
      <c r="AA141" s="89"/>
      <c r="AB141" s="93"/>
      <c r="AC141" s="93"/>
      <c r="AD141" s="89"/>
      <c r="AE141" s="89"/>
      <c r="AF141" s="89">
        <v>40</v>
      </c>
      <c r="AG141" s="89">
        <v>21</v>
      </c>
      <c r="AH141" s="89">
        <v>0</v>
      </c>
      <c r="AI141" s="89">
        <v>110</v>
      </c>
      <c r="AJ141" s="89">
        <v>0</v>
      </c>
      <c r="AK141" s="89">
        <v>0</v>
      </c>
      <c r="AL141" s="89">
        <v>5</v>
      </c>
      <c r="AM141" s="89">
        <v>1.7</v>
      </c>
      <c r="AN141" s="89">
        <v>460</v>
      </c>
      <c r="AO141" s="89">
        <v>7</v>
      </c>
      <c r="AP141" s="89">
        <v>120</v>
      </c>
      <c r="AQ141" s="89">
        <v>1</v>
      </c>
      <c r="AR141" s="89">
        <v>0</v>
      </c>
      <c r="AS141" s="89">
        <v>0</v>
      </c>
      <c r="AT141" s="89">
        <v>0</v>
      </c>
      <c r="AU141" s="89" t="s">
        <v>357</v>
      </c>
      <c r="AV141" s="100">
        <v>144</v>
      </c>
      <c r="AW141" s="89" t="s">
        <v>358</v>
      </c>
      <c r="AX141" s="89"/>
      <c r="AY141" s="89" t="s">
        <v>359</v>
      </c>
      <c r="AZ141" s="89" t="s">
        <v>359</v>
      </c>
      <c r="BA141" s="89" t="s">
        <v>359</v>
      </c>
      <c r="BB141" s="89" t="s">
        <v>359</v>
      </c>
      <c r="BC141" s="89" t="s">
        <v>359</v>
      </c>
      <c r="BD141" s="89" t="s">
        <v>359</v>
      </c>
      <c r="BE141" s="89" t="s">
        <v>359</v>
      </c>
      <c r="BF141" s="89" t="s">
        <v>359</v>
      </c>
      <c r="BG141" s="89" t="s">
        <v>359</v>
      </c>
      <c r="BH141" s="89" t="s">
        <v>1040</v>
      </c>
      <c r="BI141" s="89" t="s">
        <v>656</v>
      </c>
      <c r="BJ141" s="89"/>
      <c r="BK141" s="82" t="s">
        <v>1909</v>
      </c>
      <c r="BL141" s="82" t="s">
        <v>1936</v>
      </c>
      <c r="BM141" s="89" t="s">
        <v>1041</v>
      </c>
      <c r="BN141" s="89" t="b">
        <v>0</v>
      </c>
      <c r="BO141" s="94"/>
    </row>
    <row r="142" spans="1:67">
      <c r="A142" s="100">
        <v>100365</v>
      </c>
      <c r="B142" s="89" t="s">
        <v>163</v>
      </c>
      <c r="C142" s="89" t="s">
        <v>158</v>
      </c>
      <c r="D142" s="89" t="s">
        <v>1042</v>
      </c>
      <c r="E142" s="89" t="s">
        <v>828</v>
      </c>
      <c r="F142" s="89" t="s">
        <v>829</v>
      </c>
      <c r="G142" s="89" t="s">
        <v>829</v>
      </c>
      <c r="H142" s="89" t="s">
        <v>1043</v>
      </c>
      <c r="I142" s="89" t="s">
        <v>1039</v>
      </c>
      <c r="J142" s="89" t="s">
        <v>1044</v>
      </c>
      <c r="K142" s="89" t="s">
        <v>370</v>
      </c>
      <c r="L142" s="89">
        <v>130</v>
      </c>
      <c r="M142" s="89" t="s">
        <v>353</v>
      </c>
      <c r="N142" s="89" t="s">
        <v>354</v>
      </c>
      <c r="O142" s="89"/>
      <c r="P142" s="89"/>
      <c r="Q142" s="89" t="s">
        <v>630</v>
      </c>
      <c r="R142" s="89" t="s">
        <v>371</v>
      </c>
      <c r="S142" s="89"/>
      <c r="T142" s="89"/>
      <c r="U142" s="89"/>
      <c r="V142" s="89"/>
      <c r="W142" s="89"/>
      <c r="X142" s="89"/>
      <c r="Y142" s="89"/>
      <c r="Z142" s="89"/>
      <c r="AA142" s="89"/>
      <c r="AB142" s="89"/>
      <c r="AC142" s="89"/>
      <c r="AD142" s="89"/>
      <c r="AE142" s="89"/>
      <c r="AF142" s="89">
        <v>40</v>
      </c>
      <c r="AG142" s="89">
        <v>21</v>
      </c>
      <c r="AH142" s="89">
        <v>0</v>
      </c>
      <c r="AI142" s="89">
        <v>110</v>
      </c>
      <c r="AJ142" s="89">
        <v>0</v>
      </c>
      <c r="AK142" s="89">
        <v>0</v>
      </c>
      <c r="AL142" s="89">
        <v>5</v>
      </c>
      <c r="AM142" s="89">
        <v>1.7</v>
      </c>
      <c r="AN142" s="89">
        <v>460</v>
      </c>
      <c r="AO142" s="89">
        <v>7</v>
      </c>
      <c r="AP142" s="89">
        <v>120</v>
      </c>
      <c r="AQ142" s="89">
        <v>1</v>
      </c>
      <c r="AR142" s="89">
        <v>0</v>
      </c>
      <c r="AS142" s="89">
        <v>0</v>
      </c>
      <c r="AT142" s="89">
        <v>0</v>
      </c>
      <c r="AU142" s="89"/>
      <c r="AV142" s="100">
        <f>24*6</f>
        <v>144</v>
      </c>
      <c r="AW142" s="89" t="s">
        <v>358</v>
      </c>
      <c r="AX142" s="89"/>
      <c r="AY142" s="89" t="s">
        <v>359</v>
      </c>
      <c r="AZ142" s="89" t="s">
        <v>359</v>
      </c>
      <c r="BA142" s="89" t="s">
        <v>359</v>
      </c>
      <c r="BB142" s="89" t="s">
        <v>359</v>
      </c>
      <c r="BC142" s="89" t="s">
        <v>359</v>
      </c>
      <c r="BD142" s="89" t="s">
        <v>359</v>
      </c>
      <c r="BE142" s="89" t="s">
        <v>359</v>
      </c>
      <c r="BF142" s="89" t="s">
        <v>359</v>
      </c>
      <c r="BG142" s="89" t="s">
        <v>359</v>
      </c>
      <c r="BH142" s="89" t="s">
        <v>867</v>
      </c>
      <c r="BI142" s="89"/>
      <c r="BJ142" s="89"/>
      <c r="BK142" s="74">
        <v>45019.688101851847</v>
      </c>
      <c r="BL142" s="74">
        <v>44970.469733796293</v>
      </c>
      <c r="BM142" s="89" t="s">
        <v>1045</v>
      </c>
      <c r="BN142" s="89" t="b">
        <v>0</v>
      </c>
      <c r="BO142" s="94"/>
    </row>
    <row r="143" spans="1:67">
      <c r="A143" s="73">
        <v>100365</v>
      </c>
      <c r="B143" s="82" t="s">
        <v>163</v>
      </c>
      <c r="C143" s="82" t="s">
        <v>158</v>
      </c>
      <c r="D143" s="83" t="s">
        <v>1046</v>
      </c>
      <c r="E143" s="83" t="s">
        <v>1014</v>
      </c>
      <c r="F143" s="83" t="s">
        <v>1016</v>
      </c>
      <c r="G143" s="82" t="s">
        <v>1016</v>
      </c>
      <c r="H143" s="83" t="s">
        <v>1047</v>
      </c>
      <c r="I143" s="83" t="s">
        <v>1047</v>
      </c>
      <c r="J143" s="83" t="s">
        <v>1047</v>
      </c>
      <c r="K143" s="83"/>
      <c r="L143" s="85">
        <v>130</v>
      </c>
      <c r="M143" s="83" t="s">
        <v>353</v>
      </c>
      <c r="N143" s="82" t="s">
        <v>354</v>
      </c>
      <c r="O143" s="82"/>
      <c r="P143" s="82"/>
      <c r="Q143" s="89" t="s">
        <v>630</v>
      </c>
      <c r="R143" s="83" t="s">
        <v>564</v>
      </c>
      <c r="S143" s="83"/>
      <c r="T143" s="83"/>
      <c r="U143" s="84"/>
      <c r="V143" s="84"/>
      <c r="W143" s="84"/>
      <c r="X143" s="83"/>
      <c r="Y143" s="83"/>
      <c r="Z143" s="83"/>
      <c r="AA143" s="83"/>
      <c r="AB143" s="84"/>
      <c r="AC143" s="84"/>
      <c r="AD143" s="83"/>
      <c r="AE143" s="83"/>
      <c r="AF143" s="83">
        <v>50</v>
      </c>
      <c r="AG143" s="83">
        <v>19</v>
      </c>
      <c r="AH143" s="83">
        <v>0</v>
      </c>
      <c r="AI143" s="83">
        <v>80</v>
      </c>
      <c r="AJ143" s="83">
        <v>0</v>
      </c>
      <c r="AK143" s="83">
        <v>0</v>
      </c>
      <c r="AL143" s="83">
        <v>7</v>
      </c>
      <c r="AM143" s="83">
        <v>1</v>
      </c>
      <c r="AN143" s="83">
        <v>310</v>
      </c>
      <c r="AO143" s="83">
        <v>8</v>
      </c>
      <c r="AP143" s="83">
        <v>140</v>
      </c>
      <c r="AQ143" s="83">
        <v>2</v>
      </c>
      <c r="AR143" s="83">
        <v>0</v>
      </c>
      <c r="AS143" s="83">
        <v>0</v>
      </c>
      <c r="AT143" s="83">
        <v>0</v>
      </c>
      <c r="AU143" s="83"/>
      <c r="AV143" s="83">
        <f>24*6</f>
        <v>144</v>
      </c>
      <c r="AW143" s="83" t="s">
        <v>372</v>
      </c>
      <c r="AX143" s="82" t="b">
        <v>1</v>
      </c>
      <c r="AY143" s="82" t="s">
        <v>359</v>
      </c>
      <c r="AZ143" s="82" t="s">
        <v>359</v>
      </c>
      <c r="BA143" s="82" t="s">
        <v>359</v>
      </c>
      <c r="BB143" s="82" t="s">
        <v>359</v>
      </c>
      <c r="BC143" s="82" t="s">
        <v>359</v>
      </c>
      <c r="BD143" s="82" t="s">
        <v>359</v>
      </c>
      <c r="BE143" s="82" t="s">
        <v>359</v>
      </c>
      <c r="BF143" s="82" t="s">
        <v>359</v>
      </c>
      <c r="BG143" s="82" t="s">
        <v>359</v>
      </c>
      <c r="BH143" s="82" t="s">
        <v>1048</v>
      </c>
      <c r="BI143" s="82"/>
      <c r="BJ143" s="82"/>
      <c r="BK143" s="74">
        <v>45201.401608796303</v>
      </c>
      <c r="BL143" s="74">
        <v>45187.817361111112</v>
      </c>
      <c r="BM143" s="83" t="s">
        <v>1049</v>
      </c>
      <c r="BN143" s="83" t="b">
        <v>0</v>
      </c>
      <c r="BO143" s="89"/>
    </row>
    <row r="144" spans="1:67">
      <c r="A144" s="85">
        <v>100366</v>
      </c>
      <c r="B144" s="83" t="s">
        <v>164</v>
      </c>
      <c r="C144" s="83" t="s">
        <v>158</v>
      </c>
      <c r="D144" s="83" t="s">
        <v>1050</v>
      </c>
      <c r="E144" s="83" t="s">
        <v>1014</v>
      </c>
      <c r="F144" s="83" t="s">
        <v>1016</v>
      </c>
      <c r="G144" s="82" t="s">
        <v>1016</v>
      </c>
      <c r="H144" s="83" t="s">
        <v>1051</v>
      </c>
      <c r="I144" s="83" t="s">
        <v>1051</v>
      </c>
      <c r="J144" s="83" t="s">
        <v>1051</v>
      </c>
      <c r="K144" s="83"/>
      <c r="L144" s="85">
        <v>130</v>
      </c>
      <c r="M144" s="83" t="s">
        <v>353</v>
      </c>
      <c r="N144" s="83" t="s">
        <v>354</v>
      </c>
      <c r="O144" s="83"/>
      <c r="P144" s="83"/>
      <c r="Q144" s="89" t="s">
        <v>630</v>
      </c>
      <c r="R144" s="83" t="s">
        <v>564</v>
      </c>
      <c r="S144" s="83"/>
      <c r="T144" s="83"/>
      <c r="U144" s="83"/>
      <c r="V144" s="83"/>
      <c r="W144" s="83"/>
      <c r="X144" s="83"/>
      <c r="Y144" s="83"/>
      <c r="Z144" s="83"/>
      <c r="AA144" s="83"/>
      <c r="AB144" s="83"/>
      <c r="AC144" s="83"/>
      <c r="AD144" s="83"/>
      <c r="AE144" s="83"/>
      <c r="AF144" s="83">
        <v>50</v>
      </c>
      <c r="AG144" s="83">
        <v>20</v>
      </c>
      <c r="AH144" s="83">
        <v>0</v>
      </c>
      <c r="AI144" s="83">
        <v>110</v>
      </c>
      <c r="AJ144" s="83">
        <v>0</v>
      </c>
      <c r="AK144" s="83">
        <v>0</v>
      </c>
      <c r="AL144" s="83">
        <v>9</v>
      </c>
      <c r="AM144" s="83">
        <v>1</v>
      </c>
      <c r="AN144" s="83">
        <v>400</v>
      </c>
      <c r="AO144" s="83">
        <v>6</v>
      </c>
      <c r="AP144" s="83">
        <v>140</v>
      </c>
      <c r="AQ144" s="83">
        <v>2</v>
      </c>
      <c r="AR144" s="83">
        <v>0</v>
      </c>
      <c r="AS144" s="82">
        <v>0.5</v>
      </c>
      <c r="AT144" s="83">
        <v>0</v>
      </c>
      <c r="AU144" s="83"/>
      <c r="AV144" s="83">
        <f>24*6</f>
        <v>144</v>
      </c>
      <c r="AW144" s="83" t="s">
        <v>372</v>
      </c>
      <c r="AX144" s="83" t="b">
        <v>1</v>
      </c>
      <c r="AY144" s="83" t="s">
        <v>359</v>
      </c>
      <c r="AZ144" s="83" t="s">
        <v>359</v>
      </c>
      <c r="BA144" s="83" t="s">
        <v>359</v>
      </c>
      <c r="BB144" s="83" t="s">
        <v>359</v>
      </c>
      <c r="BC144" s="83" t="s">
        <v>359</v>
      </c>
      <c r="BD144" s="83" t="s">
        <v>359</v>
      </c>
      <c r="BE144" s="83" t="s">
        <v>359</v>
      </c>
      <c r="BF144" s="83" t="s">
        <v>359</v>
      </c>
      <c r="BG144" s="83" t="s">
        <v>359</v>
      </c>
      <c r="BH144" s="83" t="s">
        <v>1048</v>
      </c>
      <c r="BI144" s="83"/>
      <c r="BJ144" s="83"/>
      <c r="BK144" s="74">
        <v>45201.378206018519</v>
      </c>
      <c r="BL144" s="74">
        <v>45187.817361111112</v>
      </c>
      <c r="BM144" s="82" t="s">
        <v>1052</v>
      </c>
      <c r="BN144" s="83" t="b">
        <v>0</v>
      </c>
      <c r="BO144" s="89"/>
    </row>
    <row r="145" spans="1:67">
      <c r="A145" s="100">
        <v>100368</v>
      </c>
      <c r="B145" s="89" t="s">
        <v>165</v>
      </c>
      <c r="C145" s="89" t="s">
        <v>158</v>
      </c>
      <c r="D145" s="89" t="s">
        <v>1053</v>
      </c>
      <c r="E145" s="89" t="s">
        <v>625</v>
      </c>
      <c r="F145" s="89" t="s">
        <v>626</v>
      </c>
      <c r="G145" s="89" t="s">
        <v>626</v>
      </c>
      <c r="H145" s="89" t="s">
        <v>1054</v>
      </c>
      <c r="I145" s="89" t="s">
        <v>1055</v>
      </c>
      <c r="J145" s="89" t="s">
        <v>1056</v>
      </c>
      <c r="K145" s="89"/>
      <c r="L145" s="89">
        <v>130</v>
      </c>
      <c r="M145" s="89" t="s">
        <v>353</v>
      </c>
      <c r="N145" s="89" t="s">
        <v>354</v>
      </c>
      <c r="O145" s="89">
        <v>130</v>
      </c>
      <c r="P145" s="89" t="s">
        <v>353</v>
      </c>
      <c r="Q145" s="89" t="s">
        <v>630</v>
      </c>
      <c r="R145" s="89" t="s">
        <v>474</v>
      </c>
      <c r="S145" s="89"/>
      <c r="T145" s="89"/>
      <c r="U145" s="93"/>
      <c r="V145" s="93"/>
      <c r="W145" s="93"/>
      <c r="X145" s="89"/>
      <c r="Y145" s="89"/>
      <c r="Z145" s="89"/>
      <c r="AA145" s="89"/>
      <c r="AB145" s="93"/>
      <c r="AC145" s="93"/>
      <c r="AD145" s="89"/>
      <c r="AE145" s="89"/>
      <c r="AF145" s="89">
        <v>43</v>
      </c>
      <c r="AG145" s="89">
        <v>18</v>
      </c>
      <c r="AH145" s="89">
        <v>0</v>
      </c>
      <c r="AI145" s="89">
        <v>100</v>
      </c>
      <c r="AJ145" s="89">
        <v>0</v>
      </c>
      <c r="AK145" s="89">
        <v>0</v>
      </c>
      <c r="AL145" s="89">
        <v>3</v>
      </c>
      <c r="AM145" s="89">
        <v>1.85</v>
      </c>
      <c r="AN145" s="89"/>
      <c r="AO145" s="89">
        <v>6</v>
      </c>
      <c r="AP145" s="89">
        <v>140</v>
      </c>
      <c r="AQ145" s="89">
        <v>0</v>
      </c>
      <c r="AR145" s="89"/>
      <c r="AS145" s="89">
        <v>0.5</v>
      </c>
      <c r="AT145" s="89">
        <v>0</v>
      </c>
      <c r="AU145" s="89"/>
      <c r="AV145" s="89">
        <f>24*6</f>
        <v>144</v>
      </c>
      <c r="AW145" s="89" t="s">
        <v>372</v>
      </c>
      <c r="AX145" s="89" t="s">
        <v>373</v>
      </c>
      <c r="AY145" s="89" t="s">
        <v>359</v>
      </c>
      <c r="AZ145" s="89" t="s">
        <v>359</v>
      </c>
      <c r="BA145" s="89" t="s">
        <v>359</v>
      </c>
      <c r="BB145" s="89" t="s">
        <v>359</v>
      </c>
      <c r="BC145" s="89"/>
      <c r="BD145" s="89" t="s">
        <v>359</v>
      </c>
      <c r="BE145" s="89" t="s">
        <v>359</v>
      </c>
      <c r="BF145" s="89" t="s">
        <v>359</v>
      </c>
      <c r="BG145" s="89" t="s">
        <v>359</v>
      </c>
      <c r="BH145" s="89" t="s">
        <v>632</v>
      </c>
      <c r="BI145" s="89"/>
      <c r="BJ145" s="89"/>
      <c r="BK145" s="74">
        <v>45048.437615740739</v>
      </c>
      <c r="BL145" s="74">
        <v>45022.565659722219</v>
      </c>
      <c r="BM145" s="89" t="s">
        <v>1057</v>
      </c>
      <c r="BN145" s="89" t="b">
        <v>0</v>
      </c>
      <c r="BO145" s="89"/>
    </row>
    <row r="146" spans="1:67">
      <c r="A146" s="100">
        <v>100368</v>
      </c>
      <c r="B146" s="89" t="s">
        <v>165</v>
      </c>
      <c r="C146" s="89" t="s">
        <v>158</v>
      </c>
      <c r="D146" s="89" t="s">
        <v>1058</v>
      </c>
      <c r="E146" s="89" t="s">
        <v>1059</v>
      </c>
      <c r="F146" s="89" t="s">
        <v>1060</v>
      </c>
      <c r="G146" s="89" t="s">
        <v>1061</v>
      </c>
      <c r="H146" s="89" t="s">
        <v>1062</v>
      </c>
      <c r="I146" s="89" t="s">
        <v>1063</v>
      </c>
      <c r="J146" s="89" t="s">
        <v>1064</v>
      </c>
      <c r="K146" s="89" t="s">
        <v>370</v>
      </c>
      <c r="L146" s="89">
        <v>130</v>
      </c>
      <c r="M146" s="89" t="s">
        <v>353</v>
      </c>
      <c r="N146" s="89" t="s">
        <v>354</v>
      </c>
      <c r="O146" s="89"/>
      <c r="P146" s="89"/>
      <c r="Q146" s="89" t="s">
        <v>630</v>
      </c>
      <c r="R146" s="89" t="s">
        <v>356</v>
      </c>
      <c r="S146" s="89"/>
      <c r="T146" s="89"/>
      <c r="U146" s="93"/>
      <c r="V146" s="93"/>
      <c r="W146" s="93"/>
      <c r="X146" s="89"/>
      <c r="Y146" s="89"/>
      <c r="Z146" s="89"/>
      <c r="AA146" s="89"/>
      <c r="AB146" s="93"/>
      <c r="AC146" s="93"/>
      <c r="AD146" s="89"/>
      <c r="AE146" s="89"/>
      <c r="AF146" s="89">
        <v>32</v>
      </c>
      <c r="AG146" s="89">
        <v>14</v>
      </c>
      <c r="AH146" s="89">
        <v>0</v>
      </c>
      <c r="AI146" s="89">
        <v>90</v>
      </c>
      <c r="AJ146" s="89">
        <v>0</v>
      </c>
      <c r="AK146" s="89">
        <v>0</v>
      </c>
      <c r="AL146" s="89">
        <v>4</v>
      </c>
      <c r="AM146" s="89">
        <v>2</v>
      </c>
      <c r="AN146" s="89"/>
      <c r="AO146" s="89">
        <v>5</v>
      </c>
      <c r="AP146" s="89">
        <v>140</v>
      </c>
      <c r="AQ146" s="89">
        <v>2</v>
      </c>
      <c r="AR146" s="89"/>
      <c r="AS146" s="89">
        <v>0</v>
      </c>
      <c r="AT146" s="89"/>
      <c r="AU146" s="89" t="s">
        <v>502</v>
      </c>
      <c r="AV146" s="100">
        <v>144</v>
      </c>
      <c r="AW146" s="89" t="s">
        <v>358</v>
      </c>
      <c r="AX146" s="89"/>
      <c r="AY146" s="89" t="s">
        <v>359</v>
      </c>
      <c r="AZ146" s="89" t="s">
        <v>359</v>
      </c>
      <c r="BA146" s="89" t="s">
        <v>359</v>
      </c>
      <c r="BB146" s="89" t="s">
        <v>359</v>
      </c>
      <c r="BC146" s="89" t="s">
        <v>359</v>
      </c>
      <c r="BD146" s="89" t="s">
        <v>359</v>
      </c>
      <c r="BE146" s="89" t="s">
        <v>359</v>
      </c>
      <c r="BF146" s="89" t="s">
        <v>359</v>
      </c>
      <c r="BG146" s="89" t="s">
        <v>359</v>
      </c>
      <c r="BH146" s="89" t="s">
        <v>547</v>
      </c>
      <c r="BI146" s="89"/>
      <c r="BJ146" s="89"/>
      <c r="BK146" s="74">
        <v>44823.243472222217</v>
      </c>
      <c r="BL146" s="74">
        <v>44690.406064814822</v>
      </c>
      <c r="BM146" s="89" t="s">
        <v>1065</v>
      </c>
      <c r="BN146" s="89" t="b">
        <v>0</v>
      </c>
      <c r="BO146" s="89"/>
    </row>
    <row r="147" spans="1:67">
      <c r="A147" s="85">
        <v>100369</v>
      </c>
      <c r="B147" s="83" t="s">
        <v>166</v>
      </c>
      <c r="C147" s="83" t="s">
        <v>158</v>
      </c>
      <c r="D147" s="83" t="s">
        <v>1066</v>
      </c>
      <c r="E147" s="83" t="s">
        <v>1014</v>
      </c>
      <c r="F147" s="83" t="s">
        <v>1015</v>
      </c>
      <c r="G147" s="82" t="s">
        <v>1016</v>
      </c>
      <c r="H147" s="83" t="s">
        <v>1067</v>
      </c>
      <c r="I147" s="83" t="s">
        <v>1067</v>
      </c>
      <c r="J147" s="83" t="s">
        <v>1068</v>
      </c>
      <c r="K147" s="83"/>
      <c r="L147" s="85">
        <v>130</v>
      </c>
      <c r="M147" s="83" t="s">
        <v>353</v>
      </c>
      <c r="N147" s="83" t="s">
        <v>354</v>
      </c>
      <c r="O147" s="83"/>
      <c r="P147" s="83"/>
      <c r="Q147" s="89" t="s">
        <v>630</v>
      </c>
      <c r="R147" s="83" t="s">
        <v>564</v>
      </c>
      <c r="S147" s="83"/>
      <c r="T147" s="83"/>
      <c r="U147" s="84"/>
      <c r="V147" s="84"/>
      <c r="W147" s="84"/>
      <c r="X147" s="83"/>
      <c r="Y147" s="83"/>
      <c r="Z147" s="83"/>
      <c r="AA147" s="83"/>
      <c r="AB147" s="84"/>
      <c r="AC147" s="84"/>
      <c r="AD147" s="83"/>
      <c r="AE147" s="83"/>
      <c r="AF147" s="83">
        <v>50</v>
      </c>
      <c r="AG147" s="83">
        <v>16</v>
      </c>
      <c r="AH147" s="83">
        <v>0</v>
      </c>
      <c r="AI147" s="83">
        <v>80</v>
      </c>
      <c r="AJ147" s="83">
        <v>0</v>
      </c>
      <c r="AK147" s="83">
        <v>0</v>
      </c>
      <c r="AL147" s="83">
        <v>7</v>
      </c>
      <c r="AM147" s="83">
        <v>1</v>
      </c>
      <c r="AN147" s="83">
        <v>350</v>
      </c>
      <c r="AO147" s="83">
        <v>5</v>
      </c>
      <c r="AP147" s="83">
        <v>140</v>
      </c>
      <c r="AQ147" s="83">
        <v>1</v>
      </c>
      <c r="AR147" s="83">
        <v>0</v>
      </c>
      <c r="AS147" s="83">
        <v>0</v>
      </c>
      <c r="AT147" s="83">
        <v>0</v>
      </c>
      <c r="AU147" s="83"/>
      <c r="AV147" s="83">
        <f>24*6</f>
        <v>144</v>
      </c>
      <c r="AW147" s="83" t="s">
        <v>358</v>
      </c>
      <c r="AX147" s="83" t="b">
        <v>1</v>
      </c>
      <c r="AY147" s="83" t="s">
        <v>359</v>
      </c>
      <c r="AZ147" s="83" t="s">
        <v>359</v>
      </c>
      <c r="BA147" s="83" t="s">
        <v>359</v>
      </c>
      <c r="BB147" s="83" t="s">
        <v>359</v>
      </c>
      <c r="BC147" s="83" t="s">
        <v>359</v>
      </c>
      <c r="BD147" s="83" t="s">
        <v>359</v>
      </c>
      <c r="BE147" s="83" t="s">
        <v>359</v>
      </c>
      <c r="BF147" s="83" t="s">
        <v>359</v>
      </c>
      <c r="BG147" s="83" t="s">
        <v>359</v>
      </c>
      <c r="BH147" s="83" t="s">
        <v>1019</v>
      </c>
      <c r="BI147" s="83"/>
      <c r="BJ147" s="83"/>
      <c r="BK147" s="74">
        <v>45201.368032407408</v>
      </c>
      <c r="BL147" s="74">
        <v>45187.817361111112</v>
      </c>
      <c r="BM147" s="83" t="s">
        <v>1069</v>
      </c>
      <c r="BN147" s="83" t="b">
        <v>0</v>
      </c>
      <c r="BO147" s="89"/>
    </row>
    <row r="148" spans="1:67">
      <c r="A148" s="100">
        <v>100370</v>
      </c>
      <c r="B148" s="89" t="s">
        <v>167</v>
      </c>
      <c r="C148" s="89" t="s">
        <v>158</v>
      </c>
      <c r="D148" s="89" t="s">
        <v>1070</v>
      </c>
      <c r="E148" s="89" t="s">
        <v>625</v>
      </c>
      <c r="F148" s="89" t="s">
        <v>626</v>
      </c>
      <c r="G148" s="89" t="s">
        <v>626</v>
      </c>
      <c r="H148" s="89" t="s">
        <v>1071</v>
      </c>
      <c r="I148" s="89" t="s">
        <v>1072</v>
      </c>
      <c r="J148" s="89" t="s">
        <v>1073</v>
      </c>
      <c r="K148" s="89"/>
      <c r="L148" s="89">
        <v>130</v>
      </c>
      <c r="M148" s="89" t="s">
        <v>353</v>
      </c>
      <c r="N148" s="89" t="s">
        <v>354</v>
      </c>
      <c r="O148" s="89">
        <v>130</v>
      </c>
      <c r="P148" s="89" t="s">
        <v>353</v>
      </c>
      <c r="Q148" s="89" t="s">
        <v>630</v>
      </c>
      <c r="R148" s="89" t="s">
        <v>474</v>
      </c>
      <c r="S148" s="89"/>
      <c r="T148" s="89"/>
      <c r="U148" s="93"/>
      <c r="V148" s="93"/>
      <c r="W148" s="93"/>
      <c r="X148" s="89"/>
      <c r="Y148" s="89"/>
      <c r="Z148" s="89"/>
      <c r="AA148" s="89"/>
      <c r="AB148" s="93"/>
      <c r="AC148" s="93"/>
      <c r="AD148" s="89"/>
      <c r="AE148" s="89"/>
      <c r="AF148" s="89">
        <v>52</v>
      </c>
      <c r="AG148" s="89">
        <v>20</v>
      </c>
      <c r="AH148" s="89">
        <v>0</v>
      </c>
      <c r="AI148" s="89">
        <v>100</v>
      </c>
      <c r="AJ148" s="89">
        <v>0</v>
      </c>
      <c r="AK148" s="89">
        <v>0</v>
      </c>
      <c r="AL148" s="89">
        <v>6</v>
      </c>
      <c r="AM148" s="89">
        <v>1.76</v>
      </c>
      <c r="AN148" s="89"/>
      <c r="AO148" s="89">
        <v>8</v>
      </c>
      <c r="AP148" s="89">
        <v>140</v>
      </c>
      <c r="AQ148" s="89">
        <v>0</v>
      </c>
      <c r="AR148" s="89"/>
      <c r="AS148" s="89">
        <v>0.5</v>
      </c>
      <c r="AT148" s="89">
        <v>0</v>
      </c>
      <c r="AU148" s="89"/>
      <c r="AV148" s="89">
        <f>24*6</f>
        <v>144</v>
      </c>
      <c r="AW148" s="89" t="s">
        <v>372</v>
      </c>
      <c r="AX148" s="89" t="s">
        <v>373</v>
      </c>
      <c r="AY148" s="89" t="s">
        <v>359</v>
      </c>
      <c r="AZ148" s="89" t="s">
        <v>359</v>
      </c>
      <c r="BA148" s="89" t="s">
        <v>359</v>
      </c>
      <c r="BB148" s="89" t="s">
        <v>359</v>
      </c>
      <c r="BC148" s="89"/>
      <c r="BD148" s="89" t="s">
        <v>359</v>
      </c>
      <c r="BE148" s="89" t="s">
        <v>359</v>
      </c>
      <c r="BF148" s="89" t="s">
        <v>359</v>
      </c>
      <c r="BG148" s="89" t="s">
        <v>359</v>
      </c>
      <c r="BH148" s="89" t="s">
        <v>632</v>
      </c>
      <c r="BI148" s="89"/>
      <c r="BJ148" s="89"/>
      <c r="BK148" s="74">
        <v>45048.455196759263</v>
      </c>
      <c r="BL148" s="74">
        <v>45022.565636574072</v>
      </c>
      <c r="BM148" s="89" t="s">
        <v>1074</v>
      </c>
      <c r="BN148" s="89" t="b">
        <v>0</v>
      </c>
      <c r="BO148" s="89"/>
    </row>
    <row r="149" spans="1:67">
      <c r="A149" s="100">
        <v>100370</v>
      </c>
      <c r="B149" s="89" t="s">
        <v>167</v>
      </c>
      <c r="C149" s="89" t="s">
        <v>158</v>
      </c>
      <c r="D149" s="89" t="s">
        <v>1075</v>
      </c>
      <c r="E149" s="89" t="s">
        <v>828</v>
      </c>
      <c r="F149" s="89" t="s">
        <v>829</v>
      </c>
      <c r="G149" s="89" t="s">
        <v>829</v>
      </c>
      <c r="H149" s="89" t="s">
        <v>1076</v>
      </c>
      <c r="I149" s="89" t="s">
        <v>1077</v>
      </c>
      <c r="J149" s="89" t="s">
        <v>1078</v>
      </c>
      <c r="K149" s="89" t="s">
        <v>370</v>
      </c>
      <c r="L149" s="89">
        <v>130</v>
      </c>
      <c r="M149" s="89" t="s">
        <v>353</v>
      </c>
      <c r="N149" s="89" t="s">
        <v>354</v>
      </c>
      <c r="O149" s="89"/>
      <c r="P149" s="89"/>
      <c r="Q149" s="89" t="s">
        <v>630</v>
      </c>
      <c r="R149" s="89" t="s">
        <v>371</v>
      </c>
      <c r="S149" s="89"/>
      <c r="T149" s="89"/>
      <c r="U149" s="93"/>
      <c r="V149" s="93"/>
      <c r="W149" s="93"/>
      <c r="X149" s="89"/>
      <c r="Y149" s="89"/>
      <c r="Z149" s="89"/>
      <c r="AA149" s="89"/>
      <c r="AB149" s="93"/>
      <c r="AC149" s="93"/>
      <c r="AD149" s="89"/>
      <c r="AE149" s="89"/>
      <c r="AF149" s="89">
        <v>30</v>
      </c>
      <c r="AG149" s="89">
        <v>21</v>
      </c>
      <c r="AH149" s="89">
        <v>0</v>
      </c>
      <c r="AI149" s="89">
        <v>120</v>
      </c>
      <c r="AJ149" s="89">
        <v>0</v>
      </c>
      <c r="AK149" s="89">
        <v>0</v>
      </c>
      <c r="AL149" s="89">
        <v>5</v>
      </c>
      <c r="AM149" s="89">
        <v>2.2999999999999998</v>
      </c>
      <c r="AN149" s="89">
        <v>480</v>
      </c>
      <c r="AO149" s="89">
        <v>8</v>
      </c>
      <c r="AP149" s="89">
        <v>110</v>
      </c>
      <c r="AQ149" s="89">
        <v>1</v>
      </c>
      <c r="AR149" s="89">
        <v>0</v>
      </c>
      <c r="AS149" s="89">
        <v>0</v>
      </c>
      <c r="AT149" s="89">
        <v>0</v>
      </c>
      <c r="AU149" s="89"/>
      <c r="AV149" s="100">
        <v>144</v>
      </c>
      <c r="AW149" s="89" t="s">
        <v>358</v>
      </c>
      <c r="AX149" s="89"/>
      <c r="AY149" s="89" t="s">
        <v>359</v>
      </c>
      <c r="AZ149" s="89" t="s">
        <v>359</v>
      </c>
      <c r="BA149" s="89" t="s">
        <v>359</v>
      </c>
      <c r="BB149" s="89" t="s">
        <v>359</v>
      </c>
      <c r="BC149" s="89" t="s">
        <v>359</v>
      </c>
      <c r="BD149" s="89" t="s">
        <v>359</v>
      </c>
      <c r="BE149" s="89" t="s">
        <v>359</v>
      </c>
      <c r="BF149" s="89" t="s">
        <v>359</v>
      </c>
      <c r="BG149" s="89" t="s">
        <v>359</v>
      </c>
      <c r="BH149" s="89" t="s">
        <v>867</v>
      </c>
      <c r="BI149" s="89" t="s">
        <v>656</v>
      </c>
      <c r="BJ149" s="89"/>
      <c r="BK149" s="74">
        <v>45078.37804398148</v>
      </c>
      <c r="BL149" s="74">
        <v>45054.39806712963</v>
      </c>
      <c r="BM149" s="89" t="s">
        <v>1079</v>
      </c>
      <c r="BN149" s="89" t="b">
        <v>0</v>
      </c>
      <c r="BO149" s="89"/>
    </row>
    <row r="150" spans="1:67">
      <c r="A150" s="73">
        <v>100370</v>
      </c>
      <c r="B150" s="82" t="s">
        <v>167</v>
      </c>
      <c r="C150" s="82" t="s">
        <v>158</v>
      </c>
      <c r="D150" s="82" t="s">
        <v>1080</v>
      </c>
      <c r="E150" s="82" t="s">
        <v>1014</v>
      </c>
      <c r="F150" s="82" t="s">
        <v>1016</v>
      </c>
      <c r="G150" s="82" t="s">
        <v>1016</v>
      </c>
      <c r="H150" s="82" t="s">
        <v>1081</v>
      </c>
      <c r="I150" s="82" t="s">
        <v>1082</v>
      </c>
      <c r="J150" s="82" t="s">
        <v>1081</v>
      </c>
      <c r="K150" s="82"/>
      <c r="L150" s="73">
        <v>130</v>
      </c>
      <c r="M150" s="82" t="s">
        <v>353</v>
      </c>
      <c r="N150" s="82" t="s">
        <v>354</v>
      </c>
      <c r="O150" s="82"/>
      <c r="P150" s="82"/>
      <c r="Q150" s="89" t="s">
        <v>630</v>
      </c>
      <c r="R150" s="82" t="s">
        <v>564</v>
      </c>
      <c r="S150" s="82"/>
      <c r="T150" s="82"/>
      <c r="U150" s="82"/>
      <c r="V150" s="82"/>
      <c r="W150" s="82"/>
      <c r="X150" s="82"/>
      <c r="Y150" s="82"/>
      <c r="Z150" s="82"/>
      <c r="AA150" s="82"/>
      <c r="AB150" s="82"/>
      <c r="AC150" s="82"/>
      <c r="AD150" s="82"/>
      <c r="AE150" s="82"/>
      <c r="AF150" s="82">
        <v>50</v>
      </c>
      <c r="AG150" s="82">
        <v>14</v>
      </c>
      <c r="AH150" s="82">
        <v>0</v>
      </c>
      <c r="AI150" s="82">
        <v>75</v>
      </c>
      <c r="AJ150" s="82">
        <v>0</v>
      </c>
      <c r="AK150" s="82">
        <v>0</v>
      </c>
      <c r="AL150" s="82">
        <v>5</v>
      </c>
      <c r="AM150" s="82">
        <v>1</v>
      </c>
      <c r="AN150" s="82">
        <v>360</v>
      </c>
      <c r="AO150" s="82">
        <v>8</v>
      </c>
      <c r="AP150" s="82">
        <v>140</v>
      </c>
      <c r="AQ150" s="82">
        <v>1</v>
      </c>
      <c r="AR150" s="82">
        <v>0</v>
      </c>
      <c r="AS150" s="82">
        <v>0</v>
      </c>
      <c r="AT150" s="82">
        <v>0</v>
      </c>
      <c r="AU150" s="82"/>
      <c r="AV150" s="83">
        <f>24*6</f>
        <v>144</v>
      </c>
      <c r="AW150" s="82" t="s">
        <v>372</v>
      </c>
      <c r="AX150" s="82" t="b">
        <v>1</v>
      </c>
      <c r="AY150" s="82" t="s">
        <v>359</v>
      </c>
      <c r="AZ150" s="82" t="s">
        <v>359</v>
      </c>
      <c r="BA150" s="82" t="s">
        <v>359</v>
      </c>
      <c r="BB150" s="82" t="s">
        <v>359</v>
      </c>
      <c r="BC150" s="82" t="s">
        <v>359</v>
      </c>
      <c r="BD150" s="82" t="s">
        <v>359</v>
      </c>
      <c r="BE150" s="82" t="s">
        <v>359</v>
      </c>
      <c r="BF150" s="82" t="s">
        <v>359</v>
      </c>
      <c r="BG150" s="82" t="s">
        <v>359</v>
      </c>
      <c r="BH150" s="82" t="s">
        <v>1048</v>
      </c>
      <c r="BI150" s="82"/>
      <c r="BJ150" s="82"/>
      <c r="BK150" s="74">
        <v>45201.371134259258</v>
      </c>
      <c r="BL150" s="74">
        <v>45187.817361111112</v>
      </c>
      <c r="BM150" s="82" t="s">
        <v>1083</v>
      </c>
      <c r="BN150" s="82" t="b">
        <v>0</v>
      </c>
      <c r="BO150" s="83"/>
    </row>
    <row r="151" spans="1:67">
      <c r="A151" s="82">
        <v>100371</v>
      </c>
      <c r="B151" s="82" t="s">
        <v>168</v>
      </c>
      <c r="C151" s="82" t="s">
        <v>158</v>
      </c>
      <c r="D151" s="82" t="s">
        <v>1937</v>
      </c>
      <c r="E151" s="82" t="s">
        <v>1938</v>
      </c>
      <c r="F151" s="82" t="s">
        <v>1061</v>
      </c>
      <c r="G151" s="82" t="s">
        <v>1061</v>
      </c>
      <c r="H151" s="82" t="s">
        <v>1939</v>
      </c>
      <c r="I151" s="82" t="s">
        <v>1940</v>
      </c>
      <c r="J151" s="82" t="s">
        <v>1941</v>
      </c>
      <c r="K151" s="82" t="s">
        <v>370</v>
      </c>
      <c r="L151" s="82">
        <v>128</v>
      </c>
      <c r="M151" s="82" t="s">
        <v>353</v>
      </c>
      <c r="N151" s="82" t="s">
        <v>354</v>
      </c>
      <c r="O151" s="82">
        <v>128</v>
      </c>
      <c r="P151" s="82" t="s">
        <v>353</v>
      </c>
      <c r="Q151" s="82" t="s">
        <v>630</v>
      </c>
      <c r="R151" s="82" t="s">
        <v>356</v>
      </c>
      <c r="S151" s="82"/>
      <c r="T151" s="82"/>
      <c r="U151" s="82"/>
      <c r="V151" s="82"/>
      <c r="W151" s="82"/>
      <c r="X151" s="82"/>
      <c r="Y151" s="82"/>
      <c r="Z151" s="82"/>
      <c r="AA151" s="82"/>
      <c r="AB151" s="82"/>
      <c r="AC151" s="82"/>
      <c r="AD151" s="82"/>
      <c r="AE151" s="82"/>
      <c r="AF151" s="82">
        <v>40</v>
      </c>
      <c r="AG151" s="82">
        <v>20</v>
      </c>
      <c r="AH151" s="82">
        <v>0</v>
      </c>
      <c r="AI151" s="82">
        <v>110</v>
      </c>
      <c r="AJ151" s="82">
        <v>0</v>
      </c>
      <c r="AK151" s="82">
        <v>0</v>
      </c>
      <c r="AL151" s="82">
        <v>5</v>
      </c>
      <c r="AM151" s="82">
        <v>1.44</v>
      </c>
      <c r="AN151" s="82"/>
      <c r="AO151" s="82">
        <v>9</v>
      </c>
      <c r="AP151" s="82">
        <v>140</v>
      </c>
      <c r="AQ151" s="82">
        <v>1</v>
      </c>
      <c r="AR151" s="82"/>
      <c r="AS151" s="82">
        <v>0</v>
      </c>
      <c r="AT151" s="82">
        <v>0</v>
      </c>
      <c r="AU151" s="82"/>
      <c r="AV151" s="82">
        <v>144</v>
      </c>
      <c r="AW151" s="82" t="s">
        <v>358</v>
      </c>
      <c r="AX151" s="82"/>
      <c r="AY151" s="82" t="s">
        <v>359</v>
      </c>
      <c r="AZ151" s="82" t="s">
        <v>359</v>
      </c>
      <c r="BA151" s="82" t="s">
        <v>359</v>
      </c>
      <c r="BB151" s="82" t="s">
        <v>359</v>
      </c>
      <c r="BC151" s="82" t="s">
        <v>359</v>
      </c>
      <c r="BD151" s="82" t="s">
        <v>359</v>
      </c>
      <c r="BE151" s="82" t="s">
        <v>359</v>
      </c>
      <c r="BF151" s="82" t="s">
        <v>359</v>
      </c>
      <c r="BG151" s="82" t="s">
        <v>359</v>
      </c>
      <c r="BH151" s="82" t="s">
        <v>1942</v>
      </c>
      <c r="BI151" s="82"/>
      <c r="BJ151" s="82"/>
      <c r="BK151" s="82" t="s">
        <v>1909</v>
      </c>
      <c r="BL151" s="82" t="s">
        <v>1943</v>
      </c>
      <c r="BM151" s="82" t="s">
        <v>1944</v>
      </c>
      <c r="BN151" s="82" t="b">
        <v>0</v>
      </c>
      <c r="BO151" s="83"/>
    </row>
    <row r="152" spans="1:67">
      <c r="A152" s="100">
        <v>100373</v>
      </c>
      <c r="B152" s="89" t="s">
        <v>169</v>
      </c>
      <c r="C152" s="89" t="s">
        <v>158</v>
      </c>
      <c r="D152" s="89" t="s">
        <v>1084</v>
      </c>
      <c r="E152" s="89" t="s">
        <v>625</v>
      </c>
      <c r="F152" s="89" t="s">
        <v>626</v>
      </c>
      <c r="G152" s="89" t="s">
        <v>626</v>
      </c>
      <c r="H152" s="89" t="s">
        <v>1085</v>
      </c>
      <c r="I152" s="89" t="s">
        <v>1086</v>
      </c>
      <c r="J152" s="89" t="s">
        <v>1087</v>
      </c>
      <c r="K152" s="89"/>
      <c r="L152" s="89">
        <v>125</v>
      </c>
      <c r="M152" s="89" t="s">
        <v>353</v>
      </c>
      <c r="N152" s="89" t="s">
        <v>354</v>
      </c>
      <c r="O152" s="89">
        <v>125</v>
      </c>
      <c r="P152" s="89" t="s">
        <v>353</v>
      </c>
      <c r="Q152" s="89" t="s">
        <v>630</v>
      </c>
      <c r="R152" s="89" t="s">
        <v>474</v>
      </c>
      <c r="S152" s="89"/>
      <c r="T152" s="89"/>
      <c r="U152" s="93"/>
      <c r="V152" s="93"/>
      <c r="W152" s="93"/>
      <c r="X152" s="89"/>
      <c r="Y152" s="89"/>
      <c r="Z152" s="89"/>
      <c r="AA152" s="89"/>
      <c r="AB152" s="93"/>
      <c r="AC152" s="93"/>
      <c r="AD152" s="89"/>
      <c r="AE152" s="89"/>
      <c r="AF152" s="89">
        <v>90</v>
      </c>
      <c r="AG152" s="89">
        <v>12</v>
      </c>
      <c r="AH152" s="89">
        <v>0</v>
      </c>
      <c r="AI152" s="89">
        <v>130</v>
      </c>
      <c r="AJ152" s="89">
        <v>1.5</v>
      </c>
      <c r="AK152" s="89">
        <v>0</v>
      </c>
      <c r="AL152" s="89">
        <v>6</v>
      </c>
      <c r="AM152" s="89">
        <v>1.85</v>
      </c>
      <c r="AN152" s="89"/>
      <c r="AO152" s="89">
        <v>7</v>
      </c>
      <c r="AP152" s="89">
        <v>140</v>
      </c>
      <c r="AQ152" s="89">
        <v>2</v>
      </c>
      <c r="AR152" s="89"/>
      <c r="AS152" s="89">
        <v>7</v>
      </c>
      <c r="AT152" s="89">
        <v>0</v>
      </c>
      <c r="AU152" s="89"/>
      <c r="AV152" s="89">
        <f>24*6</f>
        <v>144</v>
      </c>
      <c r="AW152" s="89" t="s">
        <v>372</v>
      </c>
      <c r="AX152" s="89" t="s">
        <v>373</v>
      </c>
      <c r="AY152" s="89" t="s">
        <v>359</v>
      </c>
      <c r="AZ152" s="89" t="s">
        <v>359</v>
      </c>
      <c r="BA152" s="89" t="s">
        <v>359</v>
      </c>
      <c r="BB152" s="89" t="s">
        <v>359</v>
      </c>
      <c r="BC152" s="89"/>
      <c r="BD152" s="89" t="s">
        <v>359</v>
      </c>
      <c r="BE152" s="89" t="s">
        <v>359</v>
      </c>
      <c r="BF152" s="89" t="s">
        <v>359</v>
      </c>
      <c r="BG152" s="89" t="s">
        <v>359</v>
      </c>
      <c r="BH152" s="89" t="s">
        <v>632</v>
      </c>
      <c r="BI152" s="89"/>
      <c r="BJ152" s="89"/>
      <c r="BK152" s="74">
        <v>45048.436539351853</v>
      </c>
      <c r="BL152" s="74">
        <v>45022.565648148149</v>
      </c>
      <c r="BM152" s="89" t="s">
        <v>1088</v>
      </c>
      <c r="BN152" s="89" t="b">
        <v>0</v>
      </c>
      <c r="BO152" s="83"/>
    </row>
    <row r="153" spans="1:67">
      <c r="A153" s="100">
        <v>100373</v>
      </c>
      <c r="B153" s="89" t="s">
        <v>169</v>
      </c>
      <c r="C153" s="89" t="s">
        <v>158</v>
      </c>
      <c r="D153" s="89" t="s">
        <v>1089</v>
      </c>
      <c r="E153" s="89" t="s">
        <v>1014</v>
      </c>
      <c r="F153" s="89" t="s">
        <v>1015</v>
      </c>
      <c r="G153" s="89" t="s">
        <v>1015</v>
      </c>
      <c r="H153" s="89" t="s">
        <v>1090</v>
      </c>
      <c r="I153" s="89" t="s">
        <v>1091</v>
      </c>
      <c r="J153" s="89" t="s">
        <v>1091</v>
      </c>
      <c r="K153" s="89"/>
      <c r="L153" s="100">
        <v>130</v>
      </c>
      <c r="M153" s="89" t="s">
        <v>353</v>
      </c>
      <c r="N153" s="89" t="s">
        <v>354</v>
      </c>
      <c r="O153" s="89"/>
      <c r="P153" s="89"/>
      <c r="Q153" s="89" t="s">
        <v>630</v>
      </c>
      <c r="R153" s="89" t="s">
        <v>564</v>
      </c>
      <c r="S153" s="89"/>
      <c r="T153" s="89"/>
      <c r="U153" s="89"/>
      <c r="V153" s="89"/>
      <c r="W153" s="89"/>
      <c r="X153" s="89"/>
      <c r="Y153" s="89"/>
      <c r="Z153" s="89"/>
      <c r="AA153" s="89"/>
      <c r="AB153" s="89"/>
      <c r="AC153" s="89"/>
      <c r="AD153" s="89"/>
      <c r="AE153" s="89"/>
      <c r="AF153" s="89">
        <v>53</v>
      </c>
      <c r="AG153" s="89">
        <v>24</v>
      </c>
      <c r="AH153" s="89">
        <v>0</v>
      </c>
      <c r="AI153" s="89">
        <v>110</v>
      </c>
      <c r="AJ153" s="89">
        <v>0</v>
      </c>
      <c r="AK153" s="89">
        <v>0</v>
      </c>
      <c r="AL153" s="89">
        <v>7</v>
      </c>
      <c r="AM153" s="89">
        <v>1.6</v>
      </c>
      <c r="AN153" s="89">
        <v>350</v>
      </c>
      <c r="AO153" s="89">
        <v>6</v>
      </c>
      <c r="AP153" s="89">
        <v>140</v>
      </c>
      <c r="AQ153" s="89">
        <v>2</v>
      </c>
      <c r="AR153" s="89">
        <v>0</v>
      </c>
      <c r="AS153" s="89">
        <v>0</v>
      </c>
      <c r="AT153" s="89">
        <v>0</v>
      </c>
      <c r="AU153" s="89"/>
      <c r="AV153" s="100">
        <f>24*6</f>
        <v>144</v>
      </c>
      <c r="AW153" s="89" t="s">
        <v>372</v>
      </c>
      <c r="AX153" s="89" t="b">
        <v>1</v>
      </c>
      <c r="AY153" s="89" t="s">
        <v>359</v>
      </c>
      <c r="AZ153" s="89" t="s">
        <v>359</v>
      </c>
      <c r="BA153" s="89" t="s">
        <v>359</v>
      </c>
      <c r="BB153" s="89" t="s">
        <v>359</v>
      </c>
      <c r="BC153" s="89" t="s">
        <v>359</v>
      </c>
      <c r="BD153" s="89" t="s">
        <v>359</v>
      </c>
      <c r="BE153" s="89" t="s">
        <v>359</v>
      </c>
      <c r="BF153" s="89" t="s">
        <v>359</v>
      </c>
      <c r="BG153" s="89" t="s">
        <v>359</v>
      </c>
      <c r="BH153" s="89" t="s">
        <v>1019</v>
      </c>
      <c r="BI153" s="89"/>
      <c r="BJ153" s="89"/>
      <c r="BK153" s="74">
        <v>44986.455254629633</v>
      </c>
      <c r="BL153" s="74">
        <v>44980.657638888893</v>
      </c>
      <c r="BM153" s="89" t="s">
        <v>1092</v>
      </c>
      <c r="BN153" s="89" t="b">
        <v>0</v>
      </c>
      <c r="BO153" s="83"/>
    </row>
    <row r="154" spans="1:67">
      <c r="A154" s="100">
        <v>100382</v>
      </c>
      <c r="B154" s="89" t="s">
        <v>170</v>
      </c>
      <c r="C154" s="89" t="s">
        <v>158</v>
      </c>
      <c r="D154" s="89" t="s">
        <v>1093</v>
      </c>
      <c r="E154" s="89" t="s">
        <v>1094</v>
      </c>
      <c r="F154" s="89" t="s">
        <v>1095</v>
      </c>
      <c r="G154" s="89" t="s">
        <v>1095</v>
      </c>
      <c r="H154" s="89" t="s">
        <v>1096</v>
      </c>
      <c r="I154" s="89" t="s">
        <v>1096</v>
      </c>
      <c r="J154" s="89" t="s">
        <v>1097</v>
      </c>
      <c r="K154" s="89" t="s">
        <v>370</v>
      </c>
      <c r="L154" s="89">
        <v>100</v>
      </c>
      <c r="M154" s="89" t="s">
        <v>353</v>
      </c>
      <c r="N154" s="89" t="s">
        <v>419</v>
      </c>
      <c r="O154" s="89">
        <v>100</v>
      </c>
      <c r="P154" s="89" t="s">
        <v>353</v>
      </c>
      <c r="Q154" s="89" t="s">
        <v>1098</v>
      </c>
      <c r="R154" s="89" t="s">
        <v>356</v>
      </c>
      <c r="S154" s="89"/>
      <c r="T154" s="89"/>
      <c r="U154" s="93"/>
      <c r="V154" s="93"/>
      <c r="W154" s="93"/>
      <c r="X154" s="89"/>
      <c r="Y154" s="89"/>
      <c r="Z154" s="89"/>
      <c r="AA154" s="89"/>
      <c r="AB154" s="93"/>
      <c r="AC154" s="93"/>
      <c r="AD154" s="89"/>
      <c r="AE154" s="89"/>
      <c r="AF154" s="89">
        <v>35</v>
      </c>
      <c r="AG154" s="89">
        <v>62.43</v>
      </c>
      <c r="AH154" s="89" t="s">
        <v>1099</v>
      </c>
      <c r="AI154" s="89">
        <v>225</v>
      </c>
      <c r="AJ154" s="89">
        <v>0.3</v>
      </c>
      <c r="AK154" s="89" t="s">
        <v>1100</v>
      </c>
      <c r="AL154" s="89">
        <v>32.799999999999997</v>
      </c>
      <c r="AM154" s="89">
        <v>5.31</v>
      </c>
      <c r="AN154" s="89">
        <v>1470</v>
      </c>
      <c r="AO154" s="89">
        <v>19.3</v>
      </c>
      <c r="AP154" s="89">
        <v>13</v>
      </c>
      <c r="AQ154" s="89">
        <v>1.1399999999999999</v>
      </c>
      <c r="AR154" s="89" t="s">
        <v>1100</v>
      </c>
      <c r="AS154" s="89">
        <v>1.72</v>
      </c>
      <c r="AT154" s="89" t="s">
        <v>1100</v>
      </c>
      <c r="AU154" s="89"/>
      <c r="AV154" s="89">
        <v>96</v>
      </c>
      <c r="AW154" s="89" t="s">
        <v>372</v>
      </c>
      <c r="AX154" s="89" t="s">
        <v>373</v>
      </c>
      <c r="AY154" s="89" t="s">
        <v>359</v>
      </c>
      <c r="AZ154" s="89" t="s">
        <v>359</v>
      </c>
      <c r="BA154" s="89" t="s">
        <v>359</v>
      </c>
      <c r="BB154" s="89" t="s">
        <v>359</v>
      </c>
      <c r="BC154" s="89" t="s">
        <v>359</v>
      </c>
      <c r="BD154" s="89" t="s">
        <v>359</v>
      </c>
      <c r="BE154" s="89" t="s">
        <v>476</v>
      </c>
      <c r="BF154" s="89" t="s">
        <v>359</v>
      </c>
      <c r="BG154" s="89" t="s">
        <v>476</v>
      </c>
      <c r="BH154" s="89" t="s">
        <v>727</v>
      </c>
      <c r="BI154" s="89"/>
      <c r="BJ154" s="89"/>
      <c r="BK154" s="74">
        <v>44896.750810185193</v>
      </c>
      <c r="BL154" s="74">
        <v>44881.385393518518</v>
      </c>
      <c r="BM154" s="89" t="s">
        <v>1101</v>
      </c>
      <c r="BN154" s="89" t="b">
        <v>1</v>
      </c>
      <c r="BO154" s="83"/>
    </row>
    <row r="155" spans="1:67">
      <c r="A155" s="100">
        <v>100396</v>
      </c>
      <c r="B155" s="89" t="s">
        <v>172</v>
      </c>
      <c r="C155" s="89" t="s">
        <v>171</v>
      </c>
      <c r="D155" s="89" t="s">
        <v>1104</v>
      </c>
      <c r="E155" s="89" t="s">
        <v>1105</v>
      </c>
      <c r="F155" s="89" t="s">
        <v>1106</v>
      </c>
      <c r="G155" s="89" t="s">
        <v>1106</v>
      </c>
      <c r="H155" s="89" t="s">
        <v>1107</v>
      </c>
      <c r="I155" s="89" t="s">
        <v>1107</v>
      </c>
      <c r="J155" s="89" t="s">
        <v>1108</v>
      </c>
      <c r="K155" s="89" t="s">
        <v>370</v>
      </c>
      <c r="L155" s="89">
        <v>32</v>
      </c>
      <c r="M155" s="89" t="s">
        <v>353</v>
      </c>
      <c r="N155" s="89" t="s">
        <v>354</v>
      </c>
      <c r="O155" s="89">
        <v>32</v>
      </c>
      <c r="P155" s="89" t="s">
        <v>353</v>
      </c>
      <c r="Q155" s="89" t="s">
        <v>892</v>
      </c>
      <c r="R155" s="89" t="s">
        <v>371</v>
      </c>
      <c r="S155" s="89"/>
      <c r="T155" s="89"/>
      <c r="U155" s="93"/>
      <c r="V155" s="93"/>
      <c r="W155" s="93"/>
      <c r="X155" s="89"/>
      <c r="Y155" s="89"/>
      <c r="Z155" s="89"/>
      <c r="AA155" s="89"/>
      <c r="AB155" s="93"/>
      <c r="AC155" s="93"/>
      <c r="AD155" s="89"/>
      <c r="AE155" s="89"/>
      <c r="AF155" s="89">
        <v>19</v>
      </c>
      <c r="AG155" s="89">
        <v>8</v>
      </c>
      <c r="AH155" s="89">
        <v>0</v>
      </c>
      <c r="AI155" s="89">
        <v>180</v>
      </c>
      <c r="AJ155" s="89">
        <v>2.5</v>
      </c>
      <c r="AK155" s="89">
        <v>0</v>
      </c>
      <c r="AL155" s="89">
        <v>2</v>
      </c>
      <c r="AM155" s="89">
        <v>0.5</v>
      </c>
      <c r="AN155" s="89">
        <v>184</v>
      </c>
      <c r="AO155" s="89">
        <v>7</v>
      </c>
      <c r="AP155" s="89">
        <v>125</v>
      </c>
      <c r="AQ155" s="89">
        <v>3</v>
      </c>
      <c r="AR155" s="89">
        <v>2</v>
      </c>
      <c r="AS155" s="89">
        <v>15</v>
      </c>
      <c r="AT155" s="89">
        <v>0</v>
      </c>
      <c r="AU155" s="89"/>
      <c r="AV155" s="89">
        <f>71*6</f>
        <v>426</v>
      </c>
      <c r="AW155" s="89" t="s">
        <v>372</v>
      </c>
      <c r="AX155" s="89" t="b">
        <v>1</v>
      </c>
      <c r="AY155" s="89"/>
      <c r="AZ155" s="89"/>
      <c r="BA155" s="89"/>
      <c r="BB155" s="89" t="s">
        <v>360</v>
      </c>
      <c r="BC155" s="89"/>
      <c r="BD155" s="89"/>
      <c r="BE155" s="89"/>
      <c r="BF155" s="89"/>
      <c r="BG155" s="89"/>
      <c r="BH155" s="89" t="s">
        <v>1109</v>
      </c>
      <c r="BI155" s="89"/>
      <c r="BJ155" s="89"/>
      <c r="BK155" s="74">
        <v>44958.398668981477</v>
      </c>
      <c r="BL155" s="74">
        <v>44951.287476851852</v>
      </c>
      <c r="BM155" s="89" t="s">
        <v>1110</v>
      </c>
      <c r="BN155" s="89" t="b">
        <v>0</v>
      </c>
      <c r="BO155" s="83"/>
    </row>
    <row r="156" spans="1:67">
      <c r="A156" s="85">
        <v>100400</v>
      </c>
      <c r="B156" s="83" t="s">
        <v>138</v>
      </c>
      <c r="C156" s="83" t="s">
        <v>137</v>
      </c>
      <c r="D156" s="83" t="s">
        <v>1111</v>
      </c>
      <c r="E156" s="83" t="s">
        <v>1112</v>
      </c>
      <c r="F156" s="83" t="s">
        <v>1112</v>
      </c>
      <c r="G156" s="83" t="s">
        <v>1113</v>
      </c>
      <c r="H156" s="83" t="s">
        <v>1114</v>
      </c>
      <c r="I156" s="83" t="s">
        <v>1115</v>
      </c>
      <c r="J156" s="83" t="s">
        <v>1116</v>
      </c>
      <c r="K156" s="83" t="s">
        <v>370</v>
      </c>
      <c r="L156" s="82">
        <v>30</v>
      </c>
      <c r="M156" s="82" t="s">
        <v>353</v>
      </c>
      <c r="N156" s="82" t="s">
        <v>354</v>
      </c>
      <c r="O156" s="82">
        <v>30</v>
      </c>
      <c r="P156" s="82" t="s">
        <v>353</v>
      </c>
      <c r="Q156" s="82" t="s">
        <v>764</v>
      </c>
      <c r="R156" s="82" t="s">
        <v>474</v>
      </c>
      <c r="S156" s="82"/>
      <c r="T156" s="82"/>
      <c r="U156" s="82"/>
      <c r="V156" s="82"/>
      <c r="W156" s="82"/>
      <c r="X156" s="82"/>
      <c r="Y156" s="82"/>
      <c r="Z156" s="82"/>
      <c r="AA156" s="82"/>
      <c r="AB156" s="82"/>
      <c r="AC156" s="82"/>
      <c r="AD156" s="82"/>
      <c r="AE156" s="82"/>
      <c r="AF156" s="82">
        <v>7</v>
      </c>
      <c r="AG156" s="82">
        <v>23</v>
      </c>
      <c r="AH156" s="82">
        <v>0</v>
      </c>
      <c r="AI156" s="82">
        <v>110</v>
      </c>
      <c r="AJ156" s="82">
        <v>0</v>
      </c>
      <c r="AK156" s="82">
        <v>0</v>
      </c>
      <c r="AL156" s="82">
        <v>1</v>
      </c>
      <c r="AM156" s="82">
        <v>1</v>
      </c>
      <c r="AN156" s="82">
        <v>50</v>
      </c>
      <c r="AO156" s="82">
        <v>3</v>
      </c>
      <c r="AP156" s="82">
        <v>0</v>
      </c>
      <c r="AQ156" s="82">
        <v>1</v>
      </c>
      <c r="AR156" s="82">
        <v>0</v>
      </c>
      <c r="AS156" s="82">
        <v>0</v>
      </c>
      <c r="AT156" s="82">
        <v>0</v>
      </c>
      <c r="AU156" s="82" t="s">
        <v>378</v>
      </c>
      <c r="AV156" s="82">
        <f>75*8</f>
        <v>600</v>
      </c>
      <c r="AW156" s="82" t="s">
        <v>372</v>
      </c>
      <c r="AX156" s="82"/>
      <c r="AY156" s="82" t="s">
        <v>359</v>
      </c>
      <c r="AZ156" s="82" t="s">
        <v>359</v>
      </c>
      <c r="BA156" s="82" t="s">
        <v>359</v>
      </c>
      <c r="BB156" s="82" t="s">
        <v>359</v>
      </c>
      <c r="BC156" s="82" t="s">
        <v>359</v>
      </c>
      <c r="BD156" s="82" t="s">
        <v>359</v>
      </c>
      <c r="BE156" s="82" t="s">
        <v>359</v>
      </c>
      <c r="BF156" s="82" t="s">
        <v>359</v>
      </c>
      <c r="BG156" s="82" t="s">
        <v>360</v>
      </c>
      <c r="BH156" s="82" t="s">
        <v>1117</v>
      </c>
      <c r="BI156" s="82" t="s">
        <v>656</v>
      </c>
      <c r="BJ156" s="82"/>
      <c r="BK156" s="74">
        <v>45383.39503472222</v>
      </c>
      <c r="BL156" s="74">
        <v>45352.40934027778</v>
      </c>
      <c r="BM156" s="83" t="s">
        <v>1851</v>
      </c>
      <c r="BN156" s="83" t="b">
        <v>0</v>
      </c>
      <c r="BO156" s="83"/>
    </row>
    <row r="157" spans="1:67">
      <c r="A157" s="73">
        <v>100425</v>
      </c>
      <c r="B157" s="83" t="s">
        <v>140</v>
      </c>
      <c r="C157" s="83" t="s">
        <v>137</v>
      </c>
      <c r="D157" s="82" t="s">
        <v>1807</v>
      </c>
      <c r="E157" s="82" t="s">
        <v>1808</v>
      </c>
      <c r="F157" s="82" t="s">
        <v>1809</v>
      </c>
      <c r="G157" s="82" t="s">
        <v>1810</v>
      </c>
      <c r="H157" s="82" t="s">
        <v>1923</v>
      </c>
      <c r="I157" s="82" t="s">
        <v>1811</v>
      </c>
      <c r="J157" s="82" t="s">
        <v>1812</v>
      </c>
      <c r="K157" s="82"/>
      <c r="L157" s="73">
        <v>56</v>
      </c>
      <c r="M157" s="82" t="s">
        <v>353</v>
      </c>
      <c r="N157" s="82" t="s">
        <v>354</v>
      </c>
      <c r="O157" s="73">
        <v>56</v>
      </c>
      <c r="P157" s="82" t="s">
        <v>353</v>
      </c>
      <c r="Q157" s="82" t="s">
        <v>501</v>
      </c>
      <c r="R157" s="82" t="s">
        <v>474</v>
      </c>
      <c r="S157" s="82"/>
      <c r="T157" s="82"/>
      <c r="U157" s="82"/>
      <c r="V157" s="82"/>
      <c r="W157" s="82"/>
      <c r="X157" s="82"/>
      <c r="Y157" s="82"/>
      <c r="Z157" s="82"/>
      <c r="AA157" s="82"/>
      <c r="AB157" s="82"/>
      <c r="AC157" s="82"/>
      <c r="AD157" s="82"/>
      <c r="AE157" s="82"/>
      <c r="AF157" s="82">
        <v>0</v>
      </c>
      <c r="AG157" s="82">
        <v>41</v>
      </c>
      <c r="AH157" s="82">
        <v>0</v>
      </c>
      <c r="AI157" s="82">
        <v>200</v>
      </c>
      <c r="AJ157" s="82">
        <v>0</v>
      </c>
      <c r="AK157" s="82">
        <v>0</v>
      </c>
      <c r="AL157" s="82">
        <v>1</v>
      </c>
      <c r="AM157" s="82">
        <v>10</v>
      </c>
      <c r="AN157" s="82"/>
      <c r="AO157" s="82">
        <v>7</v>
      </c>
      <c r="AP157" s="82">
        <v>0</v>
      </c>
      <c r="AQ157" s="82">
        <v>2</v>
      </c>
      <c r="AR157" s="82"/>
      <c r="AS157" s="82">
        <v>1</v>
      </c>
      <c r="AT157" s="82">
        <v>0</v>
      </c>
      <c r="AU157" s="82"/>
      <c r="AV157" s="82">
        <v>160</v>
      </c>
      <c r="AW157" s="82" t="s">
        <v>358</v>
      </c>
      <c r="AX157" s="82"/>
      <c r="AY157" s="82" t="s">
        <v>1103</v>
      </c>
      <c r="AZ157" s="82" t="s">
        <v>359</v>
      </c>
      <c r="BA157" s="82" t="s">
        <v>359</v>
      </c>
      <c r="BB157" s="82" t="s">
        <v>359</v>
      </c>
      <c r="BC157" s="82" t="s">
        <v>359</v>
      </c>
      <c r="BD157" s="82" t="s">
        <v>359</v>
      </c>
      <c r="BE157" s="82" t="s">
        <v>359</v>
      </c>
      <c r="BF157" s="82" t="s">
        <v>359</v>
      </c>
      <c r="BG157" s="82" t="s">
        <v>360</v>
      </c>
      <c r="BH157" s="82" t="s">
        <v>1813</v>
      </c>
      <c r="BI157" s="82"/>
      <c r="BJ157" s="82"/>
      <c r="BK157" s="82" t="s">
        <v>1909</v>
      </c>
      <c r="BL157" s="82" t="s">
        <v>1924</v>
      </c>
      <c r="BM157" s="82" t="s">
        <v>1814</v>
      </c>
      <c r="BN157" s="82" t="b">
        <v>0</v>
      </c>
      <c r="BO157" s="83"/>
    </row>
    <row r="158" spans="1:67">
      <c r="A158" s="100">
        <v>100425</v>
      </c>
      <c r="B158" s="89" t="s">
        <v>140</v>
      </c>
      <c r="C158" s="89" t="s">
        <v>137</v>
      </c>
      <c r="D158" s="89" t="s">
        <v>1118</v>
      </c>
      <c r="E158" s="89" t="s">
        <v>1119</v>
      </c>
      <c r="F158" s="89" t="s">
        <v>1120</v>
      </c>
      <c r="G158" s="89" t="s">
        <v>1120</v>
      </c>
      <c r="H158" s="89" t="s">
        <v>1121</v>
      </c>
      <c r="I158" s="89" t="s">
        <v>1122</v>
      </c>
      <c r="J158" s="89" t="s">
        <v>1123</v>
      </c>
      <c r="K158" s="89" t="s">
        <v>370</v>
      </c>
      <c r="L158" s="89">
        <v>56</v>
      </c>
      <c r="M158" s="89" t="s">
        <v>353</v>
      </c>
      <c r="N158" s="89" t="s">
        <v>354</v>
      </c>
      <c r="O158" s="89">
        <v>56</v>
      </c>
      <c r="P158" s="89" t="s">
        <v>353</v>
      </c>
      <c r="Q158" s="89" t="s">
        <v>1124</v>
      </c>
      <c r="R158" s="89" t="s">
        <v>474</v>
      </c>
      <c r="S158" s="89"/>
      <c r="T158" s="89"/>
      <c r="U158" s="93"/>
      <c r="V158" s="93"/>
      <c r="W158" s="93"/>
      <c r="X158" s="89"/>
      <c r="Y158" s="89"/>
      <c r="Z158" s="89"/>
      <c r="AA158" s="89"/>
      <c r="AB158" s="93"/>
      <c r="AC158" s="93"/>
      <c r="AD158" s="89"/>
      <c r="AE158" s="89"/>
      <c r="AF158" s="89">
        <v>0</v>
      </c>
      <c r="AG158" s="89">
        <v>41</v>
      </c>
      <c r="AH158" s="89">
        <v>0</v>
      </c>
      <c r="AI158" s="89">
        <v>210</v>
      </c>
      <c r="AJ158" s="89">
        <v>0</v>
      </c>
      <c r="AK158" s="89">
        <v>0</v>
      </c>
      <c r="AL158" s="89">
        <v>2</v>
      </c>
      <c r="AM158" s="89">
        <v>10</v>
      </c>
      <c r="AN158" s="89">
        <v>0</v>
      </c>
      <c r="AO158" s="89">
        <v>7</v>
      </c>
      <c r="AP158" s="89">
        <v>0</v>
      </c>
      <c r="AQ158" s="89">
        <v>2</v>
      </c>
      <c r="AR158" s="89">
        <v>0</v>
      </c>
      <c r="AS158" s="89">
        <v>1</v>
      </c>
      <c r="AT158" s="89">
        <v>0</v>
      </c>
      <c r="AU158" s="89" t="s">
        <v>357</v>
      </c>
      <c r="AV158" s="89" t="s">
        <v>491</v>
      </c>
      <c r="AW158" s="89" t="s">
        <v>372</v>
      </c>
      <c r="AX158" s="89"/>
      <c r="AY158" s="89" t="s">
        <v>359</v>
      </c>
      <c r="AZ158" s="89" t="s">
        <v>359</v>
      </c>
      <c r="BA158" s="89" t="s">
        <v>359</v>
      </c>
      <c r="BB158" s="89" t="s">
        <v>359</v>
      </c>
      <c r="BC158" s="89" t="s">
        <v>359</v>
      </c>
      <c r="BD158" s="89" t="s">
        <v>359</v>
      </c>
      <c r="BE158" s="89" t="s">
        <v>359</v>
      </c>
      <c r="BF158" s="89" t="s">
        <v>359</v>
      </c>
      <c r="BG158" s="89" t="s">
        <v>360</v>
      </c>
      <c r="BH158" s="89" t="s">
        <v>547</v>
      </c>
      <c r="BI158" s="89" t="s">
        <v>1125</v>
      </c>
      <c r="BJ158" s="89"/>
      <c r="BK158" s="74">
        <v>45261.352719907409</v>
      </c>
      <c r="BL158" s="74">
        <v>45049.548703703702</v>
      </c>
      <c r="BM158" s="89" t="s">
        <v>1126</v>
      </c>
      <c r="BN158" s="89" t="b">
        <v>0</v>
      </c>
      <c r="BO158" s="83"/>
    </row>
    <row r="159" spans="1:67">
      <c r="A159" s="100">
        <v>100465</v>
      </c>
      <c r="B159" s="89" t="s">
        <v>141</v>
      </c>
      <c r="C159" s="89" t="s">
        <v>137</v>
      </c>
      <c r="D159" s="89" t="s">
        <v>1127</v>
      </c>
      <c r="E159" s="89" t="s">
        <v>1128</v>
      </c>
      <c r="F159" s="89" t="s">
        <v>1129</v>
      </c>
      <c r="G159" s="89" t="s">
        <v>1129</v>
      </c>
      <c r="H159" s="89" t="s">
        <v>1130</v>
      </c>
      <c r="I159" s="89" t="s">
        <v>1131</v>
      </c>
      <c r="J159" s="89" t="s">
        <v>1132</v>
      </c>
      <c r="K159" s="89" t="s">
        <v>370</v>
      </c>
      <c r="L159" s="89">
        <v>40</v>
      </c>
      <c r="M159" s="89" t="s">
        <v>353</v>
      </c>
      <c r="N159" s="89" t="s">
        <v>354</v>
      </c>
      <c r="O159" s="89">
        <v>40</v>
      </c>
      <c r="P159" s="89" t="s">
        <v>353</v>
      </c>
      <c r="Q159" s="89" t="s">
        <v>1098</v>
      </c>
      <c r="R159" s="89" t="s">
        <v>474</v>
      </c>
      <c r="S159" s="89"/>
      <c r="T159" s="89"/>
      <c r="U159" s="93"/>
      <c r="V159" s="93"/>
      <c r="W159" s="93"/>
      <c r="X159" s="89"/>
      <c r="Y159" s="89"/>
      <c r="Z159" s="89"/>
      <c r="AA159" s="89"/>
      <c r="AB159" s="93"/>
      <c r="AC159" s="93"/>
      <c r="AD159" s="89"/>
      <c r="AE159" s="89"/>
      <c r="AF159" s="89">
        <v>18</v>
      </c>
      <c r="AG159" s="89">
        <v>27</v>
      </c>
      <c r="AH159" s="89">
        <v>0</v>
      </c>
      <c r="AI159" s="89">
        <v>150</v>
      </c>
      <c r="AJ159" s="89">
        <v>0</v>
      </c>
      <c r="AK159" s="89">
        <v>0</v>
      </c>
      <c r="AL159" s="89">
        <v>4</v>
      </c>
      <c r="AM159" s="89">
        <v>1.4</v>
      </c>
      <c r="AN159" s="89">
        <v>127</v>
      </c>
      <c r="AO159" s="89">
        <v>5</v>
      </c>
      <c r="AP159" s="89">
        <v>0</v>
      </c>
      <c r="AQ159" s="89">
        <v>1</v>
      </c>
      <c r="AR159" s="89">
        <v>0</v>
      </c>
      <c r="AS159" s="89">
        <v>2.5</v>
      </c>
      <c r="AT159" s="89">
        <v>0</v>
      </c>
      <c r="AU159" s="89" t="s">
        <v>502</v>
      </c>
      <c r="AV159" s="100">
        <v>360</v>
      </c>
      <c r="AW159" s="89" t="s">
        <v>358</v>
      </c>
      <c r="AX159" s="89" t="b">
        <v>1</v>
      </c>
      <c r="AY159" s="89"/>
      <c r="AZ159" s="89"/>
      <c r="BA159" s="89"/>
      <c r="BB159" s="89"/>
      <c r="BC159" s="89"/>
      <c r="BD159" s="89"/>
      <c r="BE159" s="89"/>
      <c r="BF159" s="89"/>
      <c r="BG159" s="89"/>
      <c r="BH159" s="89"/>
      <c r="BI159" s="89"/>
      <c r="BJ159" s="89"/>
      <c r="BK159" s="74">
        <v>44865.398148148153</v>
      </c>
      <c r="BL159" s="74">
        <v>44841.494791666657</v>
      </c>
      <c r="BM159" s="89" t="s">
        <v>1133</v>
      </c>
      <c r="BN159" s="89" t="b">
        <v>0</v>
      </c>
      <c r="BO159" s="83"/>
    </row>
    <row r="160" spans="1:67">
      <c r="A160" s="100">
        <v>100465</v>
      </c>
      <c r="B160" s="89" t="s">
        <v>141</v>
      </c>
      <c r="C160" s="89" t="s">
        <v>137</v>
      </c>
      <c r="D160" s="89" t="s">
        <v>1134</v>
      </c>
      <c r="E160" s="89" t="s">
        <v>1135</v>
      </c>
      <c r="F160" s="89" t="s">
        <v>1120</v>
      </c>
      <c r="G160" s="89" t="s">
        <v>1120</v>
      </c>
      <c r="H160" s="89" t="s">
        <v>1136</v>
      </c>
      <c r="I160" s="89" t="s">
        <v>1136</v>
      </c>
      <c r="J160" s="89" t="s">
        <v>1137</v>
      </c>
      <c r="K160" s="89" t="s">
        <v>370</v>
      </c>
      <c r="L160" s="89">
        <v>40</v>
      </c>
      <c r="M160" s="89" t="s">
        <v>353</v>
      </c>
      <c r="N160" s="89" t="s">
        <v>354</v>
      </c>
      <c r="O160" s="89">
        <v>40</v>
      </c>
      <c r="P160" s="89" t="s">
        <v>353</v>
      </c>
      <c r="Q160" s="89" t="s">
        <v>1098</v>
      </c>
      <c r="R160" s="89" t="s">
        <v>474</v>
      </c>
      <c r="S160" s="89"/>
      <c r="T160" s="89"/>
      <c r="U160" s="93"/>
      <c r="V160" s="93"/>
      <c r="W160" s="93"/>
      <c r="X160" s="89"/>
      <c r="Y160" s="89"/>
      <c r="Z160" s="89"/>
      <c r="AA160" s="89"/>
      <c r="AB160" s="93"/>
      <c r="AC160" s="93"/>
      <c r="AD160" s="89"/>
      <c r="AE160" s="89"/>
      <c r="AF160" s="89">
        <v>0</v>
      </c>
      <c r="AG160" s="89">
        <v>27</v>
      </c>
      <c r="AH160" s="89">
        <v>0</v>
      </c>
      <c r="AI160" s="89">
        <v>150</v>
      </c>
      <c r="AJ160" s="89">
        <v>0.5</v>
      </c>
      <c r="AK160" s="89">
        <v>0</v>
      </c>
      <c r="AL160" s="89">
        <v>4</v>
      </c>
      <c r="AM160" s="89">
        <v>1.6</v>
      </c>
      <c r="AN160" s="89">
        <v>150</v>
      </c>
      <c r="AO160" s="89">
        <v>5</v>
      </c>
      <c r="AP160" s="89">
        <v>0</v>
      </c>
      <c r="AQ160" s="89">
        <v>0</v>
      </c>
      <c r="AR160" s="89">
        <v>0</v>
      </c>
      <c r="AS160" s="89">
        <v>2.5</v>
      </c>
      <c r="AT160" s="89">
        <v>0</v>
      </c>
      <c r="AU160" s="89" t="s">
        <v>357</v>
      </c>
      <c r="AV160" s="100">
        <f>30*12</f>
        <v>360</v>
      </c>
      <c r="AW160" s="89" t="s">
        <v>372</v>
      </c>
      <c r="AX160" s="89"/>
      <c r="AY160" s="89" t="s">
        <v>359</v>
      </c>
      <c r="AZ160" s="89" t="s">
        <v>359</v>
      </c>
      <c r="BA160" s="89" t="s">
        <v>359</v>
      </c>
      <c r="BB160" s="89" t="s">
        <v>359</v>
      </c>
      <c r="BC160" s="89" t="s">
        <v>359</v>
      </c>
      <c r="BD160" s="89" t="s">
        <v>359</v>
      </c>
      <c r="BE160" s="89" t="s">
        <v>359</v>
      </c>
      <c r="BF160" s="89" t="s">
        <v>359</v>
      </c>
      <c r="BG160" s="89" t="s">
        <v>359</v>
      </c>
      <c r="BH160" s="89" t="s">
        <v>547</v>
      </c>
      <c r="BI160" s="89" t="s">
        <v>1125</v>
      </c>
      <c r="BJ160" s="89"/>
      <c r="BK160" s="74">
        <v>45261.36886574074</v>
      </c>
      <c r="BL160" s="74">
        <v>45029.29650462963</v>
      </c>
      <c r="BM160" s="89" t="s">
        <v>1133</v>
      </c>
      <c r="BN160" s="89" t="b">
        <v>0</v>
      </c>
      <c r="BO160" s="83"/>
    </row>
    <row r="161" spans="1:67">
      <c r="A161" s="85">
        <v>100494</v>
      </c>
      <c r="B161" s="83" t="s">
        <v>143</v>
      </c>
      <c r="C161" s="83" t="s">
        <v>137</v>
      </c>
      <c r="D161" s="83" t="s">
        <v>1138</v>
      </c>
      <c r="E161" s="83" t="s">
        <v>1139</v>
      </c>
      <c r="F161" s="83" t="s">
        <v>1140</v>
      </c>
      <c r="G161" s="83" t="s">
        <v>1140</v>
      </c>
      <c r="H161" s="83" t="s">
        <v>1141</v>
      </c>
      <c r="I161" s="83" t="s">
        <v>1142</v>
      </c>
      <c r="J161" s="83" t="s">
        <v>1143</v>
      </c>
      <c r="K161" s="83" t="s">
        <v>370</v>
      </c>
      <c r="L161" s="82">
        <v>47</v>
      </c>
      <c r="M161" s="82" t="s">
        <v>353</v>
      </c>
      <c r="N161" s="82" t="s">
        <v>354</v>
      </c>
      <c r="O161" s="82">
        <v>47</v>
      </c>
      <c r="P161" s="82" t="s">
        <v>353</v>
      </c>
      <c r="Q161" s="82" t="s">
        <v>764</v>
      </c>
      <c r="R161" s="82" t="s">
        <v>474</v>
      </c>
      <c r="S161" s="82"/>
      <c r="T161" s="82"/>
      <c r="U161" s="82"/>
      <c r="V161" s="82"/>
      <c r="W161" s="82"/>
      <c r="X161" s="82"/>
      <c r="Y161" s="82"/>
      <c r="Z161" s="82"/>
      <c r="AA161" s="82"/>
      <c r="AB161" s="82"/>
      <c r="AC161" s="82"/>
      <c r="AD161" s="82"/>
      <c r="AE161" s="82"/>
      <c r="AF161" s="82">
        <v>50</v>
      </c>
      <c r="AG161" s="82">
        <v>37</v>
      </c>
      <c r="AH161" s="82">
        <v>0</v>
      </c>
      <c r="AI161" s="82">
        <v>170</v>
      </c>
      <c r="AJ161" s="82">
        <v>0</v>
      </c>
      <c r="AK161" s="82">
        <v>0</v>
      </c>
      <c r="AL161" s="82">
        <v>0</v>
      </c>
      <c r="AM161" s="82">
        <v>1.4</v>
      </c>
      <c r="AN161" s="82">
        <v>70</v>
      </c>
      <c r="AO161" s="82">
        <v>4</v>
      </c>
      <c r="AP161" s="82">
        <v>0</v>
      </c>
      <c r="AQ161" s="82">
        <v>0</v>
      </c>
      <c r="AR161" s="82">
        <v>0</v>
      </c>
      <c r="AS161" s="82">
        <v>0</v>
      </c>
      <c r="AT161" s="82">
        <v>0</v>
      </c>
      <c r="AU161" s="82"/>
      <c r="AV161" s="82">
        <v>250</v>
      </c>
      <c r="AW161" s="82" t="s">
        <v>358</v>
      </c>
      <c r="AX161" s="82"/>
      <c r="AY161" s="82" t="s">
        <v>359</v>
      </c>
      <c r="AZ161" s="82" t="s">
        <v>359</v>
      </c>
      <c r="BA161" s="82" t="s">
        <v>359</v>
      </c>
      <c r="BB161" s="82" t="s">
        <v>359</v>
      </c>
      <c r="BC161" s="82" t="s">
        <v>359</v>
      </c>
      <c r="BD161" s="82" t="s">
        <v>359</v>
      </c>
      <c r="BE161" s="82" t="s">
        <v>359</v>
      </c>
      <c r="BF161" s="82" t="s">
        <v>359</v>
      </c>
      <c r="BG161" s="82" t="s">
        <v>359</v>
      </c>
      <c r="BH161" s="82" t="s">
        <v>1144</v>
      </c>
      <c r="BI161" s="82"/>
      <c r="BJ161" s="82"/>
      <c r="BK161" s="74">
        <v>45352.411145833343</v>
      </c>
      <c r="BL161" s="74">
        <v>45335.466377314813</v>
      </c>
      <c r="BM161" s="83" t="s">
        <v>1145</v>
      </c>
      <c r="BN161" s="82" t="b">
        <v>0</v>
      </c>
      <c r="BO161" s="94"/>
    </row>
    <row r="162" spans="1:67">
      <c r="A162" s="100">
        <v>110080</v>
      </c>
      <c r="B162" s="89" t="s">
        <v>1146</v>
      </c>
      <c r="C162" s="89" t="s">
        <v>189</v>
      </c>
      <c r="D162" s="89" t="s">
        <v>1147</v>
      </c>
      <c r="E162" s="89" t="s">
        <v>468</v>
      </c>
      <c r="F162" s="89" t="s">
        <v>469</v>
      </c>
      <c r="G162" s="89" t="s">
        <v>469</v>
      </c>
      <c r="H162" s="89" t="s">
        <v>1148</v>
      </c>
      <c r="I162" s="89" t="s">
        <v>1149</v>
      </c>
      <c r="J162" s="89" t="s">
        <v>472</v>
      </c>
      <c r="K162" s="89" t="s">
        <v>370</v>
      </c>
      <c r="L162" s="104">
        <v>84</v>
      </c>
      <c r="M162" s="89" t="s">
        <v>353</v>
      </c>
      <c r="N162" s="89" t="s">
        <v>354</v>
      </c>
      <c r="O162" s="104">
        <v>84</v>
      </c>
      <c r="P162" s="89" t="s">
        <v>353</v>
      </c>
      <c r="Q162" s="89" t="s">
        <v>473</v>
      </c>
      <c r="R162" s="89" t="s">
        <v>474</v>
      </c>
      <c r="S162" s="103" t="s">
        <v>475</v>
      </c>
      <c r="T162" s="89"/>
      <c r="U162" s="93"/>
      <c r="V162" s="93"/>
      <c r="W162" s="93"/>
      <c r="X162" s="89"/>
      <c r="Y162" s="89"/>
      <c r="Z162" s="89"/>
      <c r="AA162" s="89"/>
      <c r="AB162" s="93"/>
      <c r="AC162" s="93"/>
      <c r="AD162" s="89"/>
      <c r="AE162" s="103" t="s">
        <v>1150</v>
      </c>
      <c r="AF162" s="89">
        <v>20</v>
      </c>
      <c r="AG162" s="89">
        <v>0</v>
      </c>
      <c r="AH162" s="89">
        <v>95</v>
      </c>
      <c r="AI162" s="89">
        <v>160</v>
      </c>
      <c r="AJ162" s="89">
        <v>3</v>
      </c>
      <c r="AK162" s="89">
        <v>0</v>
      </c>
      <c r="AL162" s="89">
        <v>0</v>
      </c>
      <c r="AM162" s="89">
        <v>0.7</v>
      </c>
      <c r="AN162" s="89">
        <v>260</v>
      </c>
      <c r="AO162" s="89">
        <v>18</v>
      </c>
      <c r="AP162" s="89">
        <v>150</v>
      </c>
      <c r="AQ162" s="89">
        <v>0</v>
      </c>
      <c r="AR162" s="89">
        <v>0</v>
      </c>
      <c r="AS162" s="89">
        <v>9</v>
      </c>
      <c r="AT162" s="89">
        <v>0</v>
      </c>
      <c r="AU162" s="89" t="s">
        <v>357</v>
      </c>
      <c r="AV162" s="104" t="s">
        <v>1151</v>
      </c>
      <c r="AW162" s="89" t="s">
        <v>358</v>
      </c>
      <c r="AX162" s="106" t="s">
        <v>373</v>
      </c>
      <c r="AY162" s="82" t="s">
        <v>476</v>
      </c>
      <c r="AZ162" s="82" t="s">
        <v>476</v>
      </c>
      <c r="BA162" s="82" t="s">
        <v>476</v>
      </c>
      <c r="BB162" s="82" t="s">
        <v>476</v>
      </c>
      <c r="BC162" s="82" t="s">
        <v>476</v>
      </c>
      <c r="BD162" s="82" t="s">
        <v>476</v>
      </c>
      <c r="BE162" s="82" t="s">
        <v>476</v>
      </c>
      <c r="BF162" s="82" t="s">
        <v>476</v>
      </c>
      <c r="BG162" s="82" t="s">
        <v>476</v>
      </c>
      <c r="BH162" s="89" t="s">
        <v>1152</v>
      </c>
      <c r="BI162" s="89"/>
      <c r="BJ162" s="89"/>
      <c r="BK162" s="82" t="s">
        <v>2018</v>
      </c>
      <c r="BL162" s="82" t="s">
        <v>2040</v>
      </c>
      <c r="BM162" s="89" t="s">
        <v>1153</v>
      </c>
      <c r="BN162" s="89" t="b">
        <v>0</v>
      </c>
      <c r="BO162" s="94"/>
    </row>
    <row r="163" spans="1:67">
      <c r="A163" s="85">
        <v>110177</v>
      </c>
      <c r="B163" s="83" t="s">
        <v>227</v>
      </c>
      <c r="C163" s="83" t="s">
        <v>209</v>
      </c>
      <c r="D163" s="83" t="s">
        <v>1154</v>
      </c>
      <c r="E163" s="82" t="s">
        <v>1155</v>
      </c>
      <c r="F163" s="82" t="s">
        <v>698</v>
      </c>
      <c r="G163" s="82" t="s">
        <v>699</v>
      </c>
      <c r="H163" s="82" t="s">
        <v>1974</v>
      </c>
      <c r="I163" s="82" t="s">
        <v>959</v>
      </c>
      <c r="J163" s="82" t="s">
        <v>954</v>
      </c>
      <c r="K163" s="82" t="s">
        <v>370</v>
      </c>
      <c r="L163" s="82">
        <v>124</v>
      </c>
      <c r="M163" s="82" t="s">
        <v>353</v>
      </c>
      <c r="N163" s="82" t="s">
        <v>354</v>
      </c>
      <c r="O163" s="82"/>
      <c r="P163" s="82"/>
      <c r="Q163" s="82" t="s">
        <v>630</v>
      </c>
      <c r="R163" s="82" t="s">
        <v>371</v>
      </c>
      <c r="S163" s="82"/>
      <c r="T163" s="83"/>
      <c r="U163" s="84"/>
      <c r="V163" s="84"/>
      <c r="W163" s="84"/>
      <c r="X163" s="83"/>
      <c r="Y163" s="83"/>
      <c r="Z163" s="83"/>
      <c r="AA163" s="83"/>
      <c r="AB163" s="84"/>
      <c r="AC163" s="84"/>
      <c r="AD163" s="83"/>
      <c r="AE163" s="83"/>
      <c r="AF163" s="82">
        <v>19</v>
      </c>
      <c r="AG163" s="82">
        <v>8</v>
      </c>
      <c r="AH163" s="82">
        <v>0</v>
      </c>
      <c r="AI163" s="82">
        <v>35</v>
      </c>
      <c r="AJ163" s="82">
        <v>0</v>
      </c>
      <c r="AK163" s="82">
        <v>0</v>
      </c>
      <c r="AL163" s="82">
        <v>2</v>
      </c>
      <c r="AM163" s="82">
        <v>1</v>
      </c>
      <c r="AN163" s="82">
        <v>422</v>
      </c>
      <c r="AO163" s="82">
        <v>2</v>
      </c>
      <c r="AP163" s="82">
        <v>65</v>
      </c>
      <c r="AQ163" s="82">
        <v>5</v>
      </c>
      <c r="AR163" s="82">
        <v>0</v>
      </c>
      <c r="AS163" s="83">
        <v>0</v>
      </c>
      <c r="AT163" s="83">
        <v>0</v>
      </c>
      <c r="AU163" s="83" t="s">
        <v>357</v>
      </c>
      <c r="AV163" s="98" t="s">
        <v>960</v>
      </c>
      <c r="AW163" s="83" t="s">
        <v>358</v>
      </c>
      <c r="AX163" s="83" t="s">
        <v>373</v>
      </c>
      <c r="AY163" s="83" t="s">
        <v>359</v>
      </c>
      <c r="AZ163" s="83" t="s">
        <v>359</v>
      </c>
      <c r="BA163" s="83" t="s">
        <v>359</v>
      </c>
      <c r="BB163" s="83" t="s">
        <v>359</v>
      </c>
      <c r="BC163" s="83" t="s">
        <v>359</v>
      </c>
      <c r="BD163" s="83" t="s">
        <v>359</v>
      </c>
      <c r="BE163" s="83" t="s">
        <v>359</v>
      </c>
      <c r="BF163" s="83" t="s">
        <v>359</v>
      </c>
      <c r="BG163" s="83" t="s">
        <v>359</v>
      </c>
      <c r="BH163" s="82" t="s">
        <v>702</v>
      </c>
      <c r="BI163" s="82" t="s">
        <v>656</v>
      </c>
      <c r="BJ163" s="82" t="s">
        <v>916</v>
      </c>
      <c r="BK163" s="82" t="s">
        <v>1990</v>
      </c>
      <c r="BL163" s="82" t="s">
        <v>2007</v>
      </c>
      <c r="BM163" s="82" t="s">
        <v>1156</v>
      </c>
      <c r="BN163" s="82" t="b">
        <v>0</v>
      </c>
      <c r="BO163" s="94"/>
    </row>
    <row r="164" spans="1:67">
      <c r="A164" s="85">
        <v>110186</v>
      </c>
      <c r="B164" s="83" t="s">
        <v>1157</v>
      </c>
      <c r="C164" s="83" t="s">
        <v>209</v>
      </c>
      <c r="D164" s="83" t="s">
        <v>1158</v>
      </c>
      <c r="E164" s="82" t="s">
        <v>1155</v>
      </c>
      <c r="F164" s="82" t="s">
        <v>698</v>
      </c>
      <c r="G164" s="82" t="s">
        <v>699</v>
      </c>
      <c r="H164" s="82" t="s">
        <v>1975</v>
      </c>
      <c r="I164" s="82" t="s">
        <v>1159</v>
      </c>
      <c r="J164" s="82" t="s">
        <v>925</v>
      </c>
      <c r="K164" s="82" t="s">
        <v>370</v>
      </c>
      <c r="L164" s="82">
        <v>125</v>
      </c>
      <c r="M164" s="82" t="s">
        <v>353</v>
      </c>
      <c r="N164" s="82" t="s">
        <v>354</v>
      </c>
      <c r="O164" s="82"/>
      <c r="P164" s="82"/>
      <c r="Q164" s="82" t="s">
        <v>630</v>
      </c>
      <c r="R164" s="82" t="s">
        <v>371</v>
      </c>
      <c r="S164" s="82"/>
      <c r="T164" s="83"/>
      <c r="U164" s="84"/>
      <c r="V164" s="84"/>
      <c r="W164" s="84"/>
      <c r="X164" s="83"/>
      <c r="Y164" s="83"/>
      <c r="Z164" s="83"/>
      <c r="AA164" s="83"/>
      <c r="AB164" s="84"/>
      <c r="AC164" s="84"/>
      <c r="AD164" s="83"/>
      <c r="AE164" s="83"/>
      <c r="AF164" s="82">
        <v>18</v>
      </c>
      <c r="AG164" s="82">
        <v>8</v>
      </c>
      <c r="AH164" s="82">
        <v>0</v>
      </c>
      <c r="AI164" s="82">
        <v>35</v>
      </c>
      <c r="AJ164" s="82">
        <v>0</v>
      </c>
      <c r="AK164" s="82">
        <v>0</v>
      </c>
      <c r="AL164" s="82">
        <v>2</v>
      </c>
      <c r="AM164" s="82">
        <v>1</v>
      </c>
      <c r="AN164" s="82">
        <v>416</v>
      </c>
      <c r="AO164" s="82">
        <v>2</v>
      </c>
      <c r="AP164" s="82">
        <v>70</v>
      </c>
      <c r="AQ164" s="82">
        <v>5</v>
      </c>
      <c r="AR164" s="82">
        <v>0</v>
      </c>
      <c r="AS164" s="82">
        <v>0</v>
      </c>
      <c r="AT164" s="82">
        <v>0</v>
      </c>
      <c r="AU164" s="82" t="s">
        <v>357</v>
      </c>
      <c r="AV164" s="82">
        <v>144</v>
      </c>
      <c r="AW164" s="82" t="s">
        <v>358</v>
      </c>
      <c r="AX164" s="73" t="b">
        <v>1</v>
      </c>
      <c r="AY164" s="83" t="s">
        <v>359</v>
      </c>
      <c r="AZ164" s="83" t="s">
        <v>359</v>
      </c>
      <c r="BA164" s="83" t="s">
        <v>359</v>
      </c>
      <c r="BB164" s="83" t="s">
        <v>359</v>
      </c>
      <c r="BC164" s="83" t="s">
        <v>359</v>
      </c>
      <c r="BD164" s="83" t="s">
        <v>359</v>
      </c>
      <c r="BE164" s="83" t="s">
        <v>359</v>
      </c>
      <c r="BF164" s="83" t="s">
        <v>359</v>
      </c>
      <c r="BG164" s="83" t="s">
        <v>359</v>
      </c>
      <c r="BH164" s="82" t="s">
        <v>702</v>
      </c>
      <c r="BI164" s="82" t="s">
        <v>656</v>
      </c>
      <c r="BJ164" s="82" t="s">
        <v>916</v>
      </c>
      <c r="BK164" s="82" t="s">
        <v>1909</v>
      </c>
      <c r="BL164" s="82" t="s">
        <v>1964</v>
      </c>
      <c r="BM164" s="82" t="s">
        <v>1160</v>
      </c>
      <c r="BN164" s="82" t="b">
        <v>0</v>
      </c>
      <c r="BO164" s="84"/>
    </row>
    <row r="165" spans="1:67">
      <c r="A165" s="85">
        <v>110187</v>
      </c>
      <c r="B165" s="83" t="s">
        <v>230</v>
      </c>
      <c r="C165" s="83" t="s">
        <v>209</v>
      </c>
      <c r="D165" s="83" t="s">
        <v>1161</v>
      </c>
      <c r="E165" s="82" t="s">
        <v>1155</v>
      </c>
      <c r="F165" s="82" t="s">
        <v>698</v>
      </c>
      <c r="G165" s="82" t="s">
        <v>699</v>
      </c>
      <c r="H165" s="82" t="s">
        <v>1976</v>
      </c>
      <c r="I165" s="82" t="s">
        <v>934</v>
      </c>
      <c r="J165" s="82" t="s">
        <v>939</v>
      </c>
      <c r="K165" s="82" t="s">
        <v>370</v>
      </c>
      <c r="L165" s="82">
        <v>120</v>
      </c>
      <c r="M165" s="82" t="s">
        <v>353</v>
      </c>
      <c r="N165" s="82" t="s">
        <v>354</v>
      </c>
      <c r="O165" s="82"/>
      <c r="P165" s="82"/>
      <c r="Q165" s="82" t="s">
        <v>630</v>
      </c>
      <c r="R165" s="82" t="s">
        <v>371</v>
      </c>
      <c r="S165" s="82"/>
      <c r="T165" s="82"/>
      <c r="U165" s="82"/>
      <c r="V165" s="84"/>
      <c r="W165" s="84"/>
      <c r="X165" s="83"/>
      <c r="Y165" s="83"/>
      <c r="Z165" s="83"/>
      <c r="AA165" s="83"/>
      <c r="AB165" s="84"/>
      <c r="AC165" s="84"/>
      <c r="AD165" s="83"/>
      <c r="AE165" s="83"/>
      <c r="AF165" s="82">
        <v>19</v>
      </c>
      <c r="AG165" s="82">
        <v>9</v>
      </c>
      <c r="AH165" s="82">
        <v>0</v>
      </c>
      <c r="AI165" s="82">
        <v>40</v>
      </c>
      <c r="AJ165" s="82">
        <v>0</v>
      </c>
      <c r="AK165" s="82">
        <v>0</v>
      </c>
      <c r="AL165" s="82">
        <v>2</v>
      </c>
      <c r="AM165" s="82">
        <v>1</v>
      </c>
      <c r="AN165" s="82">
        <v>482</v>
      </c>
      <c r="AO165" s="82">
        <v>2</v>
      </c>
      <c r="AP165" s="82">
        <v>100</v>
      </c>
      <c r="AQ165" s="82">
        <v>6</v>
      </c>
      <c r="AR165" s="82">
        <v>0</v>
      </c>
      <c r="AS165" s="82">
        <v>0</v>
      </c>
      <c r="AT165" s="82">
        <v>0</v>
      </c>
      <c r="AU165" s="82" t="s">
        <v>357</v>
      </c>
      <c r="AV165" s="82">
        <v>150</v>
      </c>
      <c r="AW165" s="83" t="s">
        <v>358</v>
      </c>
      <c r="AX165" s="83" t="s">
        <v>373</v>
      </c>
      <c r="AY165" s="83" t="s">
        <v>359</v>
      </c>
      <c r="AZ165" s="83" t="s">
        <v>359</v>
      </c>
      <c r="BA165" s="83" t="s">
        <v>359</v>
      </c>
      <c r="BB165" s="83" t="s">
        <v>359</v>
      </c>
      <c r="BC165" s="83" t="s">
        <v>359</v>
      </c>
      <c r="BD165" s="83" t="s">
        <v>359</v>
      </c>
      <c r="BE165" s="83" t="s">
        <v>359</v>
      </c>
      <c r="BF165" s="83" t="s">
        <v>359</v>
      </c>
      <c r="BG165" s="83" t="s">
        <v>359</v>
      </c>
      <c r="BH165" s="82" t="s">
        <v>702</v>
      </c>
      <c r="BI165" s="82" t="s">
        <v>656</v>
      </c>
      <c r="BJ165" s="82" t="s">
        <v>916</v>
      </c>
      <c r="BK165" s="82" t="s">
        <v>1990</v>
      </c>
      <c r="BL165" s="82" t="s">
        <v>2005</v>
      </c>
      <c r="BM165" s="82" t="s">
        <v>1162</v>
      </c>
      <c r="BN165" s="82" t="b">
        <v>0</v>
      </c>
      <c r="BO165" s="94"/>
    </row>
    <row r="166" spans="1:67">
      <c r="A166" s="73">
        <v>110208</v>
      </c>
      <c r="B166" s="82" t="s">
        <v>147</v>
      </c>
      <c r="C166" s="82" t="s">
        <v>137</v>
      </c>
      <c r="D166" s="82" t="s">
        <v>1863</v>
      </c>
      <c r="E166" s="82" t="s">
        <v>1864</v>
      </c>
      <c r="F166" s="82" t="s">
        <v>1112</v>
      </c>
      <c r="G166" s="82" t="s">
        <v>1113</v>
      </c>
      <c r="H166" s="82" t="s">
        <v>1865</v>
      </c>
      <c r="I166" s="82" t="s">
        <v>1866</v>
      </c>
      <c r="J166" s="82" t="s">
        <v>1867</v>
      </c>
      <c r="K166" s="82"/>
      <c r="L166" s="82">
        <v>30</v>
      </c>
      <c r="M166" s="82" t="s">
        <v>353</v>
      </c>
      <c r="N166" s="82" t="s">
        <v>419</v>
      </c>
      <c r="O166" s="82">
        <v>30</v>
      </c>
      <c r="P166" s="82" t="s">
        <v>353</v>
      </c>
      <c r="Q166" s="82" t="s">
        <v>764</v>
      </c>
      <c r="R166" s="82" t="s">
        <v>474</v>
      </c>
      <c r="S166" s="82"/>
      <c r="T166" s="82"/>
      <c r="U166" s="82"/>
      <c r="V166" s="82"/>
      <c r="W166" s="82"/>
      <c r="X166" s="82"/>
      <c r="Y166" s="82"/>
      <c r="Z166" s="82"/>
      <c r="AA166" s="82"/>
      <c r="AB166" s="82"/>
      <c r="AC166" s="82"/>
      <c r="AD166" s="82"/>
      <c r="AE166" s="82"/>
      <c r="AF166" s="82">
        <v>10</v>
      </c>
      <c r="AG166" s="82">
        <v>23</v>
      </c>
      <c r="AH166" s="82">
        <v>0</v>
      </c>
      <c r="AI166" s="82">
        <v>100</v>
      </c>
      <c r="AJ166" s="82">
        <v>0</v>
      </c>
      <c r="AK166" s="82">
        <v>0</v>
      </c>
      <c r="AL166" s="82">
        <v>4</v>
      </c>
      <c r="AM166" s="82">
        <v>1</v>
      </c>
      <c r="AN166" s="82">
        <v>84</v>
      </c>
      <c r="AO166" s="82">
        <v>3</v>
      </c>
      <c r="AP166" s="82">
        <v>0</v>
      </c>
      <c r="AQ166" s="82">
        <v>1</v>
      </c>
      <c r="AR166" s="82">
        <v>0</v>
      </c>
      <c r="AS166" s="82">
        <v>0.5</v>
      </c>
      <c r="AT166" s="82">
        <v>0</v>
      </c>
      <c r="AU166" s="82"/>
      <c r="AV166" s="101">
        <v>375</v>
      </c>
      <c r="AW166" s="82" t="s">
        <v>372</v>
      </c>
      <c r="AX166" s="107" t="b">
        <v>1</v>
      </c>
      <c r="AY166" s="82"/>
      <c r="AZ166" s="82"/>
      <c r="BA166" s="82"/>
      <c r="BB166" s="82"/>
      <c r="BC166" s="82"/>
      <c r="BD166" s="82"/>
      <c r="BE166" s="82"/>
      <c r="BF166" s="82"/>
      <c r="BG166" s="82" t="s">
        <v>360</v>
      </c>
      <c r="BH166" s="82" t="s">
        <v>1868</v>
      </c>
      <c r="BI166" s="82" t="s">
        <v>656</v>
      </c>
      <c r="BJ166" s="82"/>
      <c r="BK166" s="74">
        <v>45413.42769675926</v>
      </c>
      <c r="BL166" s="74">
        <v>45385.381712962961</v>
      </c>
      <c r="BM166" s="82" t="s">
        <v>1856</v>
      </c>
      <c r="BN166" s="82" t="b">
        <v>0</v>
      </c>
      <c r="BO166" s="83"/>
    </row>
    <row r="167" spans="1:67">
      <c r="A167" s="85">
        <v>110211</v>
      </c>
      <c r="B167" s="83" t="s">
        <v>147</v>
      </c>
      <c r="C167" s="83" t="s">
        <v>137</v>
      </c>
      <c r="D167" s="83" t="s">
        <v>1852</v>
      </c>
      <c r="E167" s="83" t="s">
        <v>1112</v>
      </c>
      <c r="F167" s="83" t="s">
        <v>1112</v>
      </c>
      <c r="G167" s="83" t="s">
        <v>1113</v>
      </c>
      <c r="H167" s="83" t="s">
        <v>1853</v>
      </c>
      <c r="I167" s="83" t="s">
        <v>1854</v>
      </c>
      <c r="J167" s="83" t="s">
        <v>1854</v>
      </c>
      <c r="K167" s="83" t="s">
        <v>370</v>
      </c>
      <c r="L167" s="83">
        <v>30</v>
      </c>
      <c r="M167" s="83" t="s">
        <v>353</v>
      </c>
      <c r="N167" s="82" t="s">
        <v>354</v>
      </c>
      <c r="O167" s="82">
        <v>30</v>
      </c>
      <c r="P167" s="82" t="s">
        <v>353</v>
      </c>
      <c r="Q167" s="82" t="s">
        <v>764</v>
      </c>
      <c r="R167" s="82" t="s">
        <v>474</v>
      </c>
      <c r="S167" s="82"/>
      <c r="T167" s="82"/>
      <c r="U167" s="82"/>
      <c r="V167" s="82"/>
      <c r="W167" s="82"/>
      <c r="X167" s="82"/>
      <c r="Y167" s="82"/>
      <c r="Z167" s="82"/>
      <c r="AA167" s="82"/>
      <c r="AB167" s="82"/>
      <c r="AC167" s="82"/>
      <c r="AD167" s="82"/>
      <c r="AE167" s="82"/>
      <c r="AF167" s="82">
        <v>10</v>
      </c>
      <c r="AG167" s="82">
        <v>23</v>
      </c>
      <c r="AH167" s="82">
        <v>0</v>
      </c>
      <c r="AI167" s="82">
        <v>100</v>
      </c>
      <c r="AJ167" s="82">
        <v>0</v>
      </c>
      <c r="AK167" s="82">
        <v>0</v>
      </c>
      <c r="AL167" s="82">
        <v>4</v>
      </c>
      <c r="AM167" s="82">
        <v>1</v>
      </c>
      <c r="AN167" s="82">
        <v>84</v>
      </c>
      <c r="AO167" s="82">
        <v>3</v>
      </c>
      <c r="AP167" s="82">
        <v>0</v>
      </c>
      <c r="AQ167" s="82">
        <v>1</v>
      </c>
      <c r="AR167" s="82">
        <v>0</v>
      </c>
      <c r="AS167" s="82">
        <v>0.5</v>
      </c>
      <c r="AT167" s="82">
        <v>0</v>
      </c>
      <c r="AU167" s="82" t="s">
        <v>378</v>
      </c>
      <c r="AV167" s="82">
        <f>75*8</f>
        <v>600</v>
      </c>
      <c r="AW167" s="82" t="s">
        <v>372</v>
      </c>
      <c r="AX167" s="82"/>
      <c r="AY167" s="82" t="s">
        <v>359</v>
      </c>
      <c r="AZ167" s="82" t="s">
        <v>359</v>
      </c>
      <c r="BA167" s="82" t="s">
        <v>359</v>
      </c>
      <c r="BB167" s="82" t="s">
        <v>359</v>
      </c>
      <c r="BC167" s="82" t="s">
        <v>359</v>
      </c>
      <c r="BD167" s="82" t="s">
        <v>359</v>
      </c>
      <c r="BE167" s="82" t="s">
        <v>359</v>
      </c>
      <c r="BF167" s="82" t="s">
        <v>359</v>
      </c>
      <c r="BG167" s="82" t="s">
        <v>360</v>
      </c>
      <c r="BH167" s="82" t="s">
        <v>1855</v>
      </c>
      <c r="BI167" s="82" t="s">
        <v>656</v>
      </c>
      <c r="BJ167" s="82"/>
      <c r="BK167" s="74">
        <v>45383.362187500003</v>
      </c>
      <c r="BL167" s="74">
        <v>45352.410150462973</v>
      </c>
      <c r="BM167" s="83" t="s">
        <v>1856</v>
      </c>
      <c r="BN167" s="83" t="b">
        <v>0</v>
      </c>
      <c r="BO167" s="83"/>
    </row>
    <row r="168" spans="1:67">
      <c r="A168" s="96">
        <v>110261</v>
      </c>
      <c r="B168" s="86" t="s">
        <v>2094</v>
      </c>
      <c r="C168" s="86" t="s">
        <v>53</v>
      </c>
      <c r="D168" s="86" t="s">
        <v>1163</v>
      </c>
      <c r="E168" s="86" t="s">
        <v>583</v>
      </c>
      <c r="F168" s="86" t="s">
        <v>584</v>
      </c>
      <c r="G168" s="86" t="s">
        <v>584</v>
      </c>
      <c r="H168" s="86"/>
      <c r="I168" s="86" t="s">
        <v>585</v>
      </c>
      <c r="J168" s="86" t="s">
        <v>578</v>
      </c>
      <c r="K168" s="86" t="s">
        <v>370</v>
      </c>
      <c r="L168" s="86">
        <v>112</v>
      </c>
      <c r="M168" s="86" t="s">
        <v>353</v>
      </c>
      <c r="N168" s="89" t="s">
        <v>354</v>
      </c>
      <c r="O168" s="89">
        <v>112</v>
      </c>
      <c r="P168" s="89" t="s">
        <v>353</v>
      </c>
      <c r="Q168" s="89" t="s">
        <v>586</v>
      </c>
      <c r="R168" s="86" t="s">
        <v>474</v>
      </c>
      <c r="S168" s="83"/>
      <c r="T168" s="83"/>
      <c r="U168" s="84"/>
      <c r="V168" s="84"/>
      <c r="W168" s="84"/>
      <c r="X168" s="83"/>
      <c r="Y168" s="83"/>
      <c r="Z168" s="83"/>
      <c r="AA168" s="83"/>
      <c r="AB168" s="84"/>
      <c r="AC168" s="84"/>
      <c r="AD168" s="83"/>
      <c r="AE168" s="83"/>
      <c r="AF168" s="82">
        <v>0</v>
      </c>
      <c r="AG168" s="89">
        <v>0</v>
      </c>
      <c r="AH168" s="89">
        <v>70</v>
      </c>
      <c r="AI168" s="89">
        <v>240</v>
      </c>
      <c r="AJ168" s="89">
        <v>7</v>
      </c>
      <c r="AK168" s="89">
        <v>0</v>
      </c>
      <c r="AL168" s="89">
        <v>0</v>
      </c>
      <c r="AM168" s="89">
        <v>1</v>
      </c>
      <c r="AN168" s="89">
        <v>0</v>
      </c>
      <c r="AO168" s="89">
        <v>22</v>
      </c>
      <c r="AP168" s="89">
        <v>65</v>
      </c>
      <c r="AQ168" s="89">
        <v>0</v>
      </c>
      <c r="AR168" s="89">
        <v>0</v>
      </c>
      <c r="AS168" s="89">
        <v>17</v>
      </c>
      <c r="AT168" s="89">
        <v>0</v>
      </c>
      <c r="AU168" s="86" t="s">
        <v>587</v>
      </c>
      <c r="AV168" s="86" t="s">
        <v>491</v>
      </c>
      <c r="AW168" s="86" t="s">
        <v>358</v>
      </c>
      <c r="AX168" s="86"/>
      <c r="AY168" s="86" t="s">
        <v>359</v>
      </c>
      <c r="AZ168" s="86" t="s">
        <v>359</v>
      </c>
      <c r="BA168" s="86" t="s">
        <v>359</v>
      </c>
      <c r="BB168" s="86" t="s">
        <v>359</v>
      </c>
      <c r="BC168" s="86" t="s">
        <v>359</v>
      </c>
      <c r="BD168" s="86" t="s">
        <v>359</v>
      </c>
      <c r="BE168" s="86" t="s">
        <v>359</v>
      </c>
      <c r="BF168" s="86" t="s">
        <v>359</v>
      </c>
      <c r="BG168" s="89" t="s">
        <v>359</v>
      </c>
      <c r="BH168" s="89" t="s">
        <v>588</v>
      </c>
      <c r="BI168" s="86"/>
      <c r="BJ168" s="86"/>
      <c r="BK168" t="s">
        <v>2297</v>
      </c>
      <c r="BL168" t="s">
        <v>2351</v>
      </c>
      <c r="BM168" s="86" t="s">
        <v>589</v>
      </c>
      <c r="BN168" s="89" t="b">
        <v>0</v>
      </c>
      <c r="BO168" s="89"/>
    </row>
    <row r="169" spans="1:67">
      <c r="A169" s="85">
        <v>110261</v>
      </c>
      <c r="B169" s="86" t="s">
        <v>2094</v>
      </c>
      <c r="C169" s="86" t="s">
        <v>53</v>
      </c>
      <c r="D169" s="86" t="s">
        <v>1164</v>
      </c>
      <c r="E169" s="86" t="s">
        <v>583</v>
      </c>
      <c r="F169" s="86" t="s">
        <v>591</v>
      </c>
      <c r="G169" s="86" t="s">
        <v>592</v>
      </c>
      <c r="H169" s="86" t="s">
        <v>59</v>
      </c>
      <c r="I169" s="86" t="s">
        <v>585</v>
      </c>
      <c r="J169" s="86" t="s">
        <v>578</v>
      </c>
      <c r="K169" s="86" t="s">
        <v>370</v>
      </c>
      <c r="L169" s="86">
        <v>112</v>
      </c>
      <c r="M169" s="86" t="s">
        <v>353</v>
      </c>
      <c r="N169" s="89" t="s">
        <v>354</v>
      </c>
      <c r="O169" s="89">
        <v>112</v>
      </c>
      <c r="P169" s="89" t="s">
        <v>353</v>
      </c>
      <c r="Q169" s="89" t="s">
        <v>586</v>
      </c>
      <c r="R169" s="86" t="s">
        <v>474</v>
      </c>
      <c r="S169" s="83"/>
      <c r="T169" s="83"/>
      <c r="U169" s="84"/>
      <c r="V169" s="84"/>
      <c r="W169" s="84"/>
      <c r="X169" s="83"/>
      <c r="Y169" s="83"/>
      <c r="Z169" s="83"/>
      <c r="AA169" s="83"/>
      <c r="AB169" s="84"/>
      <c r="AC169" s="84"/>
      <c r="AD169" s="83"/>
      <c r="AE169" s="83"/>
      <c r="AF169" s="89">
        <v>0</v>
      </c>
      <c r="AG169" s="89">
        <v>0</v>
      </c>
      <c r="AH169" s="89">
        <v>70</v>
      </c>
      <c r="AI169" s="89">
        <v>240</v>
      </c>
      <c r="AJ169" s="89">
        <v>7</v>
      </c>
      <c r="AK169" s="89">
        <v>0</v>
      </c>
      <c r="AL169" s="89">
        <v>0</v>
      </c>
      <c r="AM169" s="89">
        <v>1</v>
      </c>
      <c r="AN169" s="89">
        <v>0</v>
      </c>
      <c r="AO169" s="89">
        <v>22</v>
      </c>
      <c r="AP169" s="89">
        <v>65</v>
      </c>
      <c r="AQ169" s="89">
        <v>0</v>
      </c>
      <c r="AR169" s="89">
        <v>0</v>
      </c>
      <c r="AS169" s="89">
        <v>17</v>
      </c>
      <c r="AT169" s="89">
        <v>0</v>
      </c>
      <c r="AU169" s="86" t="s">
        <v>587</v>
      </c>
      <c r="AV169" s="86" t="s">
        <v>491</v>
      </c>
      <c r="AW169" s="86" t="s">
        <v>358</v>
      </c>
      <c r="AX169" s="86" t="s">
        <v>1165</v>
      </c>
      <c r="AY169" s="86" t="s">
        <v>359</v>
      </c>
      <c r="AZ169" s="86" t="s">
        <v>359</v>
      </c>
      <c r="BA169" s="86" t="s">
        <v>359</v>
      </c>
      <c r="BB169" s="86" t="s">
        <v>359</v>
      </c>
      <c r="BC169" s="86" t="s">
        <v>359</v>
      </c>
      <c r="BD169" s="86" t="s">
        <v>359</v>
      </c>
      <c r="BE169" s="86" t="s">
        <v>359</v>
      </c>
      <c r="BF169" s="86" t="s">
        <v>359</v>
      </c>
      <c r="BG169" s="86" t="s">
        <v>359</v>
      </c>
      <c r="BH169" s="89" t="s">
        <v>588</v>
      </c>
      <c r="BI169" s="82"/>
      <c r="BJ169" s="82"/>
      <c r="BK169" s="74">
        <v>45231.37804398148</v>
      </c>
      <c r="BL169" s="74">
        <v>45222.331828703696</v>
      </c>
      <c r="BM169" s="89" t="s">
        <v>589</v>
      </c>
      <c r="BN169" s="89" t="b">
        <v>0</v>
      </c>
      <c r="BO169" s="89"/>
    </row>
    <row r="170" spans="1:67">
      <c r="A170" s="100">
        <v>110322</v>
      </c>
      <c r="B170" s="89" t="s">
        <v>1166</v>
      </c>
      <c r="C170" s="89" t="s">
        <v>53</v>
      </c>
      <c r="D170" s="89" t="s">
        <v>1167</v>
      </c>
      <c r="E170" s="89" t="s">
        <v>559</v>
      </c>
      <c r="F170" s="89" t="s">
        <v>560</v>
      </c>
      <c r="G170" s="89" t="s">
        <v>561</v>
      </c>
      <c r="H170" s="89" t="s">
        <v>1168</v>
      </c>
      <c r="I170" s="89" t="s">
        <v>1169</v>
      </c>
      <c r="J170" s="89" t="s">
        <v>1170</v>
      </c>
      <c r="K170" s="89" t="s">
        <v>370</v>
      </c>
      <c r="L170" s="89">
        <v>62</v>
      </c>
      <c r="M170" s="89" t="s">
        <v>353</v>
      </c>
      <c r="N170" s="89" t="s">
        <v>354</v>
      </c>
      <c r="O170" s="89">
        <v>62</v>
      </c>
      <c r="P170" s="89" t="s">
        <v>353</v>
      </c>
      <c r="Q170" s="89" t="s">
        <v>1171</v>
      </c>
      <c r="R170" s="89" t="s">
        <v>1000</v>
      </c>
      <c r="S170" s="103" t="s">
        <v>1172</v>
      </c>
      <c r="T170" s="89"/>
      <c r="U170" s="93"/>
      <c r="V170" s="93"/>
      <c r="W170" s="93"/>
      <c r="X170" s="89"/>
      <c r="Y170" s="103" t="s">
        <v>1173</v>
      </c>
      <c r="Z170" s="89"/>
      <c r="AA170" s="89"/>
      <c r="AB170" s="93"/>
      <c r="AC170" s="93"/>
      <c r="AD170" s="89"/>
      <c r="AE170" s="89"/>
      <c r="AF170" s="89">
        <v>17</v>
      </c>
      <c r="AG170" s="89">
        <v>1</v>
      </c>
      <c r="AH170" s="89">
        <v>30</v>
      </c>
      <c r="AI170" s="89">
        <v>120</v>
      </c>
      <c r="AJ170" s="89">
        <v>3</v>
      </c>
      <c r="AK170" s="89">
        <v>0</v>
      </c>
      <c r="AL170" s="89">
        <v>1</v>
      </c>
      <c r="AM170" s="89">
        <v>1</v>
      </c>
      <c r="AN170" s="89">
        <v>598</v>
      </c>
      <c r="AO170" s="89">
        <v>11</v>
      </c>
      <c r="AP170" s="89">
        <v>210</v>
      </c>
      <c r="AQ170" s="89">
        <v>0</v>
      </c>
      <c r="AR170" s="89"/>
      <c r="AS170" s="89">
        <v>8</v>
      </c>
      <c r="AT170" s="89"/>
      <c r="AU170" s="89"/>
      <c r="AV170" s="89" t="s">
        <v>1174</v>
      </c>
      <c r="AW170" s="89" t="s">
        <v>358</v>
      </c>
      <c r="AX170" s="89" t="s">
        <v>373</v>
      </c>
      <c r="AY170" s="89"/>
      <c r="AZ170" s="89"/>
      <c r="BA170" s="89"/>
      <c r="BB170" s="89"/>
      <c r="BC170" s="89"/>
      <c r="BD170" s="89"/>
      <c r="BE170" s="89" t="s">
        <v>360</v>
      </c>
      <c r="BF170" s="89"/>
      <c r="BG170" s="89"/>
      <c r="BH170" s="89" t="s">
        <v>567</v>
      </c>
      <c r="BI170" s="89"/>
      <c r="BJ170" s="89"/>
      <c r="BK170" s="74">
        <v>45078.377164351848</v>
      </c>
      <c r="BL170" s="74">
        <v>44938.683680555558</v>
      </c>
      <c r="BM170" s="89" t="s">
        <v>1175</v>
      </c>
      <c r="BN170" s="89" t="b">
        <v>0</v>
      </c>
      <c r="BO170" s="89"/>
    </row>
    <row r="171" spans="1:67">
      <c r="A171">
        <v>110322</v>
      </c>
      <c r="B171" t="s">
        <v>1166</v>
      </c>
      <c r="C171" t="s">
        <v>53</v>
      </c>
      <c r="D171" t="s">
        <v>2072</v>
      </c>
      <c r="E171" t="s">
        <v>2063</v>
      </c>
      <c r="F171" t="s">
        <v>2064</v>
      </c>
      <c r="G171" t="s">
        <v>2065</v>
      </c>
      <c r="H171" t="s">
        <v>2073</v>
      </c>
      <c r="I171" t="s">
        <v>2073</v>
      </c>
      <c r="J171" t="s">
        <v>2074</v>
      </c>
      <c r="L171">
        <v>62</v>
      </c>
      <c r="M171" t="s">
        <v>353</v>
      </c>
      <c r="N171" t="s">
        <v>419</v>
      </c>
      <c r="O171">
        <v>100</v>
      </c>
      <c r="P171" t="s">
        <v>353</v>
      </c>
      <c r="Q171" t="s">
        <v>2068</v>
      </c>
      <c r="R171" t="s">
        <v>564</v>
      </c>
      <c r="S171" s="122" t="s">
        <v>1172</v>
      </c>
      <c r="U171"/>
      <c r="V171"/>
      <c r="W171"/>
      <c r="Y171" s="122" t="s">
        <v>2075</v>
      </c>
      <c r="AB171"/>
      <c r="AC171"/>
      <c r="AF171">
        <v>19</v>
      </c>
      <c r="AG171">
        <v>1.86</v>
      </c>
      <c r="AH171">
        <v>31</v>
      </c>
      <c r="AI171">
        <v>118</v>
      </c>
      <c r="AJ171">
        <v>2.79</v>
      </c>
      <c r="AK171">
        <v>0.31</v>
      </c>
      <c r="AL171">
        <v>1.2</v>
      </c>
      <c r="AM171">
        <v>1.3</v>
      </c>
      <c r="AN171">
        <v>236</v>
      </c>
      <c r="AO171">
        <v>11.16</v>
      </c>
      <c r="AP171">
        <v>205</v>
      </c>
      <c r="AQ171">
        <v>0.62</v>
      </c>
      <c r="AR171">
        <v>0</v>
      </c>
      <c r="AS171">
        <v>6.82</v>
      </c>
      <c r="AT171">
        <v>1</v>
      </c>
      <c r="AV171">
        <v>73</v>
      </c>
      <c r="AW171" t="s">
        <v>358</v>
      </c>
      <c r="AX171" t="b">
        <v>1</v>
      </c>
      <c r="BE171" t="s">
        <v>360</v>
      </c>
      <c r="BH171" t="s">
        <v>567</v>
      </c>
      <c r="BK171" t="s">
        <v>2042</v>
      </c>
      <c r="BL171" t="s">
        <v>2070</v>
      </c>
      <c r="BM171" t="s">
        <v>2076</v>
      </c>
      <c r="BN171" t="b">
        <v>1</v>
      </c>
      <c r="BO171" s="89"/>
    </row>
    <row r="172" spans="1:67">
      <c r="A172" s="85">
        <v>110346</v>
      </c>
      <c r="B172" s="83" t="s">
        <v>2096</v>
      </c>
      <c r="C172" s="83" t="s">
        <v>53</v>
      </c>
      <c r="D172" s="83" t="s">
        <v>1176</v>
      </c>
      <c r="E172" s="83" t="s">
        <v>574</v>
      </c>
      <c r="F172" s="83" t="s">
        <v>575</v>
      </c>
      <c r="G172" s="83" t="s">
        <v>576</v>
      </c>
      <c r="H172" s="83"/>
      <c r="I172" s="83" t="s">
        <v>1177</v>
      </c>
      <c r="J172" s="83" t="s">
        <v>578</v>
      </c>
      <c r="K172" s="83" t="s">
        <v>370</v>
      </c>
      <c r="L172" s="83">
        <v>80</v>
      </c>
      <c r="M172" s="83" t="s">
        <v>353</v>
      </c>
      <c r="N172" s="82" t="s">
        <v>419</v>
      </c>
      <c r="O172" s="82">
        <v>80</v>
      </c>
      <c r="P172" s="82" t="s">
        <v>353</v>
      </c>
      <c r="Q172" s="82" t="s">
        <v>1178</v>
      </c>
      <c r="R172" s="83" t="s">
        <v>474</v>
      </c>
      <c r="S172" s="83"/>
      <c r="T172" s="83"/>
      <c r="U172" s="84"/>
      <c r="V172" s="84"/>
      <c r="W172" s="84"/>
      <c r="X172" s="83"/>
      <c r="Y172" s="83"/>
      <c r="Z172" s="83"/>
      <c r="AA172" s="83"/>
      <c r="AB172" s="84"/>
      <c r="AC172" s="84"/>
      <c r="AD172" s="83"/>
      <c r="AE172" s="83"/>
      <c r="AF172" s="82">
        <v>0</v>
      </c>
      <c r="AG172" s="82">
        <v>0</v>
      </c>
      <c r="AH172" s="82">
        <v>50</v>
      </c>
      <c r="AI172" s="82">
        <v>130</v>
      </c>
      <c r="AJ172" s="82">
        <v>3</v>
      </c>
      <c r="AK172" s="82">
        <v>0</v>
      </c>
      <c r="AL172" s="82">
        <v>0</v>
      </c>
      <c r="AM172" s="82">
        <v>2</v>
      </c>
      <c r="AN172" s="82"/>
      <c r="AO172" s="82">
        <v>15</v>
      </c>
      <c r="AP172" s="82">
        <v>50</v>
      </c>
      <c r="AQ172" s="82">
        <v>0</v>
      </c>
      <c r="AR172" s="82"/>
      <c r="AS172" s="82">
        <v>8</v>
      </c>
      <c r="AT172" s="83"/>
      <c r="AU172" s="83" t="s">
        <v>502</v>
      </c>
      <c r="AV172" s="82">
        <v>225</v>
      </c>
      <c r="AW172" s="83" t="s">
        <v>358</v>
      </c>
      <c r="AX172" s="83"/>
      <c r="AY172" s="83" t="s">
        <v>476</v>
      </c>
      <c r="AZ172" s="83" t="s">
        <v>476</v>
      </c>
      <c r="BA172" s="83" t="s">
        <v>476</v>
      </c>
      <c r="BB172" s="83" t="s">
        <v>476</v>
      </c>
      <c r="BC172" s="83" t="s">
        <v>476</v>
      </c>
      <c r="BD172" s="83" t="s">
        <v>476</v>
      </c>
      <c r="BE172" s="83" t="s">
        <v>476</v>
      </c>
      <c r="BF172" s="83" t="s">
        <v>476</v>
      </c>
      <c r="BG172" s="83" t="s">
        <v>476</v>
      </c>
      <c r="BH172" s="83" t="s">
        <v>581</v>
      </c>
      <c r="BI172" s="83"/>
      <c r="BJ172" s="83"/>
      <c r="BK172" s="74">
        <v>45170.385925925933</v>
      </c>
      <c r="BL172" s="74">
        <v>45051.460405092592</v>
      </c>
      <c r="BM172" s="83" t="s">
        <v>53</v>
      </c>
      <c r="BN172" s="83" t="b">
        <v>0</v>
      </c>
      <c r="BO172" s="89"/>
    </row>
    <row r="173" spans="1:67">
      <c r="A173" s="85">
        <v>110349</v>
      </c>
      <c r="B173" s="83" t="s">
        <v>2095</v>
      </c>
      <c r="C173" s="83" t="s">
        <v>53</v>
      </c>
      <c r="D173" s="83" t="s">
        <v>1179</v>
      </c>
      <c r="E173" s="83" t="s">
        <v>574</v>
      </c>
      <c r="F173" s="83" t="s">
        <v>575</v>
      </c>
      <c r="G173" s="83" t="s">
        <v>576</v>
      </c>
      <c r="H173" s="83"/>
      <c r="I173" s="83" t="s">
        <v>1180</v>
      </c>
      <c r="J173" s="83" t="s">
        <v>578</v>
      </c>
      <c r="K173" s="83" t="s">
        <v>370</v>
      </c>
      <c r="L173" s="83">
        <v>80</v>
      </c>
      <c r="M173" s="83" t="s">
        <v>353</v>
      </c>
      <c r="N173" s="82" t="s">
        <v>354</v>
      </c>
      <c r="O173" s="82"/>
      <c r="P173" s="82"/>
      <c r="Q173" s="82" t="s">
        <v>1178</v>
      </c>
      <c r="R173" s="83" t="s">
        <v>474</v>
      </c>
      <c r="S173" s="83"/>
      <c r="T173" s="83"/>
      <c r="U173" s="84"/>
      <c r="V173" s="84"/>
      <c r="W173" s="84"/>
      <c r="X173" s="83"/>
      <c r="Y173" s="83"/>
      <c r="Z173" s="83"/>
      <c r="AA173" s="83"/>
      <c r="AB173" s="84"/>
      <c r="AC173" s="84"/>
      <c r="AD173" s="83"/>
      <c r="AE173" s="83"/>
      <c r="AF173" s="82">
        <v>0</v>
      </c>
      <c r="AG173" s="82">
        <v>3</v>
      </c>
      <c r="AH173" s="82">
        <v>45</v>
      </c>
      <c r="AI173" s="82">
        <v>180</v>
      </c>
      <c r="AJ173" s="82">
        <v>5</v>
      </c>
      <c r="AK173" s="82">
        <v>0</v>
      </c>
      <c r="AL173" s="82">
        <v>0</v>
      </c>
      <c r="AM173" s="82">
        <v>2</v>
      </c>
      <c r="AN173" s="82"/>
      <c r="AO173" s="82">
        <v>12</v>
      </c>
      <c r="AP173" s="82">
        <v>45</v>
      </c>
      <c r="AQ173" s="82">
        <v>0</v>
      </c>
      <c r="AR173" s="82"/>
      <c r="AS173" s="82">
        <v>12</v>
      </c>
      <c r="AT173" s="82"/>
      <c r="AU173" s="83" t="s">
        <v>502</v>
      </c>
      <c r="AV173" s="82">
        <v>225</v>
      </c>
      <c r="AW173" s="83" t="s">
        <v>358</v>
      </c>
      <c r="AX173" s="83"/>
      <c r="AY173" s="83" t="s">
        <v>476</v>
      </c>
      <c r="AZ173" s="83" t="s">
        <v>476</v>
      </c>
      <c r="BA173" s="83" t="s">
        <v>476</v>
      </c>
      <c r="BB173" s="83" t="s">
        <v>476</v>
      </c>
      <c r="BC173" s="83" t="s">
        <v>476</v>
      </c>
      <c r="BD173" s="83" t="s">
        <v>476</v>
      </c>
      <c r="BE173" s="83" t="s">
        <v>476</v>
      </c>
      <c r="BF173" s="83" t="s">
        <v>476</v>
      </c>
      <c r="BG173" s="83" t="s">
        <v>476</v>
      </c>
      <c r="BH173" s="83" t="s">
        <v>581</v>
      </c>
      <c r="BI173" s="83"/>
      <c r="BJ173" s="83"/>
      <c r="BK173" s="74">
        <v>45170.399328703701</v>
      </c>
      <c r="BL173" s="74">
        <v>45051.465115740742</v>
      </c>
      <c r="BM173" s="83" t="s">
        <v>53</v>
      </c>
      <c r="BN173" s="83" t="b">
        <v>0</v>
      </c>
      <c r="BO173" s="89"/>
    </row>
    <row r="174" spans="1:67">
      <c r="A174" s="100">
        <v>110349</v>
      </c>
      <c r="B174" s="89" t="s">
        <v>2095</v>
      </c>
      <c r="C174" s="89" t="s">
        <v>53</v>
      </c>
      <c r="D174" s="89" t="s">
        <v>1181</v>
      </c>
      <c r="E174" s="89" t="s">
        <v>1182</v>
      </c>
      <c r="F174" s="89" t="s">
        <v>1183</v>
      </c>
      <c r="G174" s="89" t="s">
        <v>1183</v>
      </c>
      <c r="H174" s="89" t="s">
        <v>1184</v>
      </c>
      <c r="I174" s="89" t="s">
        <v>1184</v>
      </c>
      <c r="J174" s="89" t="s">
        <v>1185</v>
      </c>
      <c r="K174" s="89" t="s">
        <v>370</v>
      </c>
      <c r="L174" s="89">
        <v>80</v>
      </c>
      <c r="M174" s="89" t="s">
        <v>353</v>
      </c>
      <c r="N174" s="89" t="s">
        <v>1186</v>
      </c>
      <c r="O174" s="89">
        <v>2</v>
      </c>
      <c r="P174" s="89" t="s">
        <v>788</v>
      </c>
      <c r="Q174" s="89" t="s">
        <v>595</v>
      </c>
      <c r="R174" s="89" t="s">
        <v>643</v>
      </c>
      <c r="S174" s="89"/>
      <c r="T174" s="89"/>
      <c r="U174" s="93"/>
      <c r="V174" s="93"/>
      <c r="W174" s="93"/>
      <c r="X174" s="89"/>
      <c r="Y174" s="89"/>
      <c r="Z174" s="89"/>
      <c r="AA174" s="89"/>
      <c r="AB174" s="93"/>
      <c r="AC174" s="93"/>
      <c r="AD174" s="89"/>
      <c r="AE174" s="89"/>
      <c r="AF174" s="89"/>
      <c r="AG174" s="89">
        <v>0</v>
      </c>
      <c r="AH174" s="89">
        <v>54</v>
      </c>
      <c r="AI174" s="89">
        <v>172</v>
      </c>
      <c r="AJ174" s="89">
        <v>5</v>
      </c>
      <c r="AK174" s="89">
        <v>1</v>
      </c>
      <c r="AL174" s="89">
        <v>0</v>
      </c>
      <c r="AM174" s="89"/>
      <c r="AN174" s="89"/>
      <c r="AO174" s="89">
        <v>15</v>
      </c>
      <c r="AP174" s="89">
        <v>53</v>
      </c>
      <c r="AQ174" s="89">
        <v>0</v>
      </c>
      <c r="AR174" s="89"/>
      <c r="AS174" s="89">
        <v>12</v>
      </c>
      <c r="AT174" s="89"/>
      <c r="AU174" s="89"/>
      <c r="AV174" s="89" t="s">
        <v>1187</v>
      </c>
      <c r="AW174" s="89" t="s">
        <v>358</v>
      </c>
      <c r="AX174" s="89" t="s">
        <v>373</v>
      </c>
      <c r="AY174" s="89"/>
      <c r="AZ174" s="89"/>
      <c r="BA174" s="89"/>
      <c r="BB174" s="89"/>
      <c r="BC174" s="89"/>
      <c r="BD174" s="89"/>
      <c r="BE174" s="89"/>
      <c r="BF174" s="89"/>
      <c r="BG174" s="89"/>
      <c r="BH174" s="89" t="s">
        <v>804</v>
      </c>
      <c r="BI174" s="89"/>
      <c r="BJ174" s="89"/>
      <c r="BK174" s="74">
        <v>44823.22378472222</v>
      </c>
      <c r="BL174" s="74">
        <v>44687.699780092589</v>
      </c>
      <c r="BM174" s="89" t="s">
        <v>53</v>
      </c>
      <c r="BN174" s="89" t="b">
        <v>0</v>
      </c>
      <c r="BO174" s="87"/>
    </row>
    <row r="175" spans="1:67">
      <c r="A175" s="100">
        <v>110361</v>
      </c>
      <c r="B175" s="89" t="s">
        <v>124</v>
      </c>
      <c r="C175" s="89" t="s">
        <v>95</v>
      </c>
      <c r="D175" s="89" t="s">
        <v>1188</v>
      </c>
      <c r="E175" s="89" t="s">
        <v>1189</v>
      </c>
      <c r="F175" s="89" t="s">
        <v>626</v>
      </c>
      <c r="G175" s="89" t="s">
        <v>626</v>
      </c>
      <c r="H175" s="89" t="s">
        <v>1190</v>
      </c>
      <c r="I175" s="89" t="s">
        <v>1191</v>
      </c>
      <c r="J175" s="89" t="s">
        <v>629</v>
      </c>
      <c r="K175" s="89"/>
      <c r="L175" s="89">
        <v>126</v>
      </c>
      <c r="M175" s="89" t="s">
        <v>353</v>
      </c>
      <c r="N175" s="89" t="s">
        <v>354</v>
      </c>
      <c r="O175" s="89">
        <v>126</v>
      </c>
      <c r="P175" s="89" t="s">
        <v>353</v>
      </c>
      <c r="Q175" s="89" t="s">
        <v>630</v>
      </c>
      <c r="R175" s="89" t="s">
        <v>474</v>
      </c>
      <c r="S175" s="89"/>
      <c r="T175" s="89"/>
      <c r="U175" s="89"/>
      <c r="V175" s="89"/>
      <c r="W175" s="89"/>
      <c r="X175" s="89"/>
      <c r="Y175" s="89"/>
      <c r="Z175" s="89"/>
      <c r="AA175" s="89"/>
      <c r="AB175" s="89"/>
      <c r="AC175" s="89"/>
      <c r="AD175" s="89"/>
      <c r="AE175" s="89"/>
      <c r="AF175" s="89">
        <v>5</v>
      </c>
      <c r="AG175" s="89">
        <v>14</v>
      </c>
      <c r="AH175" s="89">
        <v>0</v>
      </c>
      <c r="AI175" s="89">
        <v>50</v>
      </c>
      <c r="AJ175" s="89">
        <v>0</v>
      </c>
      <c r="AK175" s="89">
        <v>0</v>
      </c>
      <c r="AL175" s="89">
        <v>1</v>
      </c>
      <c r="AM175" s="89">
        <v>0</v>
      </c>
      <c r="AN175" s="89"/>
      <c r="AO175" s="89">
        <v>0</v>
      </c>
      <c r="AP175" s="89">
        <v>0</v>
      </c>
      <c r="AQ175" s="89">
        <v>12</v>
      </c>
      <c r="AR175" s="89">
        <v>0</v>
      </c>
      <c r="AS175" s="89">
        <v>0</v>
      </c>
      <c r="AT175" s="89">
        <v>0</v>
      </c>
      <c r="AU175" s="89"/>
      <c r="AV175" s="89">
        <v>96</v>
      </c>
      <c r="AW175" s="89" t="s">
        <v>372</v>
      </c>
      <c r="AX175" s="89" t="b">
        <v>1</v>
      </c>
      <c r="AY175" s="89" t="s">
        <v>359</v>
      </c>
      <c r="AZ175" s="89" t="s">
        <v>359</v>
      </c>
      <c r="BA175" s="89" t="s">
        <v>359</v>
      </c>
      <c r="BB175" s="89" t="s">
        <v>359</v>
      </c>
      <c r="BC175" s="89"/>
      <c r="BD175" s="89" t="s">
        <v>359</v>
      </c>
      <c r="BE175" s="89" t="s">
        <v>359</v>
      </c>
      <c r="BF175" s="89" t="s">
        <v>359</v>
      </c>
      <c r="BG175" s="89" t="s">
        <v>359</v>
      </c>
      <c r="BH175" s="89" t="s">
        <v>632</v>
      </c>
      <c r="BI175" s="89"/>
      <c r="BJ175" s="89"/>
      <c r="BK175" s="74">
        <v>45048.440370370372</v>
      </c>
      <c r="BL175" s="74">
        <v>45022.575601851851</v>
      </c>
      <c r="BM175" s="89" t="s">
        <v>1192</v>
      </c>
      <c r="BN175" s="89" t="b">
        <v>0</v>
      </c>
      <c r="BO175" s="87"/>
    </row>
    <row r="176" spans="1:67">
      <c r="A176" s="100">
        <v>110361</v>
      </c>
      <c r="B176" s="89" t="s">
        <v>124</v>
      </c>
      <c r="C176" s="89" t="s">
        <v>95</v>
      </c>
      <c r="D176" s="83" t="s">
        <v>2024</v>
      </c>
      <c r="E176" t="s">
        <v>2041</v>
      </c>
      <c r="F176" s="89" t="s">
        <v>635</v>
      </c>
      <c r="G176" s="89" t="s">
        <v>636</v>
      </c>
      <c r="H176" s="89" t="s">
        <v>1193</v>
      </c>
      <c r="I176" s="89" t="s">
        <v>1194</v>
      </c>
      <c r="J176" s="89" t="s">
        <v>1195</v>
      </c>
      <c r="K176" s="89" t="s">
        <v>370</v>
      </c>
      <c r="L176" s="89">
        <v>128</v>
      </c>
      <c r="M176" s="89" t="s">
        <v>353</v>
      </c>
      <c r="N176" s="89" t="s">
        <v>354</v>
      </c>
      <c r="O176" s="89">
        <v>128</v>
      </c>
      <c r="P176" s="89" t="s">
        <v>353</v>
      </c>
      <c r="Q176" s="89" t="s">
        <v>1196</v>
      </c>
      <c r="R176" s="89" t="s">
        <v>371</v>
      </c>
      <c r="S176" s="89"/>
      <c r="T176" s="89"/>
      <c r="U176" s="93"/>
      <c r="V176" s="93"/>
      <c r="W176" s="93"/>
      <c r="X176" s="89"/>
      <c r="Y176" s="89"/>
      <c r="Z176" s="89"/>
      <c r="AA176" s="89"/>
      <c r="AB176" s="93"/>
      <c r="AC176" s="93"/>
      <c r="AD176" s="89"/>
      <c r="AE176" s="89"/>
      <c r="AF176" s="89">
        <v>5</v>
      </c>
      <c r="AG176" s="89">
        <v>14</v>
      </c>
      <c r="AH176" s="89">
        <v>0</v>
      </c>
      <c r="AI176" s="89">
        <v>50</v>
      </c>
      <c r="AJ176" s="89">
        <v>0</v>
      </c>
      <c r="AK176" s="89">
        <v>0</v>
      </c>
      <c r="AL176" s="89">
        <v>1</v>
      </c>
      <c r="AM176" s="89">
        <v>0</v>
      </c>
      <c r="AN176" s="89">
        <v>95</v>
      </c>
      <c r="AO176" s="89">
        <v>0</v>
      </c>
      <c r="AP176" s="89">
        <v>0</v>
      </c>
      <c r="AQ176" s="89">
        <v>12</v>
      </c>
      <c r="AR176" s="89">
        <v>0</v>
      </c>
      <c r="AS176" s="89">
        <v>0</v>
      </c>
      <c r="AT176" s="89">
        <v>0</v>
      </c>
      <c r="AU176" s="89"/>
      <c r="AV176" s="100">
        <v>96</v>
      </c>
      <c r="AW176" s="83" t="s">
        <v>372</v>
      </c>
      <c r="AX176" s="89" t="s">
        <v>373</v>
      </c>
      <c r="AY176" s="89" t="s">
        <v>359</v>
      </c>
      <c r="AZ176" s="89" t="s">
        <v>359</v>
      </c>
      <c r="BA176" s="89" t="s">
        <v>359</v>
      </c>
      <c r="BB176" s="89" t="s">
        <v>359</v>
      </c>
      <c r="BC176" s="82" t="s">
        <v>359</v>
      </c>
      <c r="BD176" s="89" t="s">
        <v>359</v>
      </c>
      <c r="BE176" s="89" t="s">
        <v>359</v>
      </c>
      <c r="BF176" s="89" t="s">
        <v>359</v>
      </c>
      <c r="BG176" s="89" t="s">
        <v>359</v>
      </c>
      <c r="BH176" s="82" t="s">
        <v>727</v>
      </c>
      <c r="BI176" s="89"/>
      <c r="BJ176" s="89"/>
      <c r="BK176" t="s">
        <v>2105</v>
      </c>
      <c r="BL176" t="s">
        <v>2106</v>
      </c>
      <c r="BM176" s="89" t="s">
        <v>1192</v>
      </c>
      <c r="BN176" s="89" t="b">
        <v>0</v>
      </c>
      <c r="BO176" s="87"/>
    </row>
    <row r="177" spans="1:67">
      <c r="A177" s="100">
        <v>110361</v>
      </c>
      <c r="B177" s="89" t="s">
        <v>124</v>
      </c>
      <c r="C177" s="89" t="s">
        <v>95</v>
      </c>
      <c r="D177" s="86" t="s">
        <v>1197</v>
      </c>
      <c r="E177" s="89" t="s">
        <v>1198</v>
      </c>
      <c r="F177" s="89" t="s">
        <v>1199</v>
      </c>
      <c r="G177" s="89" t="s">
        <v>1200</v>
      </c>
      <c r="H177" s="86" t="s">
        <v>1201</v>
      </c>
      <c r="I177" s="86" t="s">
        <v>1201</v>
      </c>
      <c r="J177" s="86" t="s">
        <v>1201</v>
      </c>
      <c r="K177" s="86"/>
      <c r="L177" s="96">
        <v>128</v>
      </c>
      <c r="M177" s="86" t="s">
        <v>353</v>
      </c>
      <c r="N177" s="86" t="s">
        <v>787</v>
      </c>
      <c r="O177" s="96">
        <v>4.5</v>
      </c>
      <c r="P177" s="86" t="s">
        <v>788</v>
      </c>
      <c r="Q177" s="86" t="s">
        <v>770</v>
      </c>
      <c r="R177" s="86" t="s">
        <v>371</v>
      </c>
      <c r="S177" s="83"/>
      <c r="T177" s="83"/>
      <c r="U177" s="84"/>
      <c r="V177" s="84"/>
      <c r="W177" s="84"/>
      <c r="X177" s="83"/>
      <c r="Y177" s="83"/>
      <c r="Z177" s="83"/>
      <c r="AA177" s="83"/>
      <c r="AB177" s="84"/>
      <c r="AC177" s="84"/>
      <c r="AD177" s="83"/>
      <c r="AE177" s="83"/>
      <c r="AF177" s="83">
        <v>5</v>
      </c>
      <c r="AG177" s="83">
        <v>14</v>
      </c>
      <c r="AH177" s="83">
        <v>0</v>
      </c>
      <c r="AI177" s="83">
        <v>50</v>
      </c>
      <c r="AJ177" s="83">
        <v>0</v>
      </c>
      <c r="AK177" s="86">
        <v>0</v>
      </c>
      <c r="AL177" s="86">
        <v>1</v>
      </c>
      <c r="AM177" s="86">
        <v>0</v>
      </c>
      <c r="AN177" s="86">
        <v>95</v>
      </c>
      <c r="AO177" s="86">
        <v>0</v>
      </c>
      <c r="AP177" s="86">
        <v>0</v>
      </c>
      <c r="AQ177" s="86">
        <v>12</v>
      </c>
      <c r="AR177" s="86">
        <v>0</v>
      </c>
      <c r="AS177" s="86">
        <v>0</v>
      </c>
      <c r="AT177" s="86">
        <v>0</v>
      </c>
      <c r="AU177" s="86" t="s">
        <v>357</v>
      </c>
      <c r="AV177" s="86" t="s">
        <v>743</v>
      </c>
      <c r="AW177" s="86" t="s">
        <v>358</v>
      </c>
      <c r="AX177" s="100" t="b">
        <v>1</v>
      </c>
      <c r="AY177" s="89" t="s">
        <v>359</v>
      </c>
      <c r="AZ177" s="89" t="s">
        <v>359</v>
      </c>
      <c r="BA177" s="89" t="s">
        <v>359</v>
      </c>
      <c r="BB177" s="89" t="s">
        <v>359</v>
      </c>
      <c r="BC177" s="89" t="s">
        <v>359</v>
      </c>
      <c r="BD177" s="89" t="s">
        <v>359</v>
      </c>
      <c r="BE177" s="89" t="s">
        <v>359</v>
      </c>
      <c r="BF177" s="89" t="s">
        <v>359</v>
      </c>
      <c r="BG177" s="89" t="s">
        <v>359</v>
      </c>
      <c r="BH177" s="89" t="s">
        <v>1202</v>
      </c>
      <c r="BI177" s="82"/>
      <c r="BJ177" s="82"/>
      <c r="BK177" s="74">
        <v>45231.365127314813</v>
      </c>
      <c r="BL177" s="74">
        <v>45215.577777777777</v>
      </c>
      <c r="BM177" s="83" t="s">
        <v>1203</v>
      </c>
      <c r="BN177" s="83" t="b">
        <v>0</v>
      </c>
      <c r="BO177" s="83"/>
    </row>
    <row r="178" spans="1:67">
      <c r="A178" s="100">
        <v>110393</v>
      </c>
      <c r="B178" s="89" t="s">
        <v>148</v>
      </c>
      <c r="C178" s="89" t="s">
        <v>137</v>
      </c>
      <c r="D178" s="89" t="s">
        <v>1204</v>
      </c>
      <c r="E178" s="89" t="s">
        <v>1205</v>
      </c>
      <c r="F178" s="89" t="s">
        <v>1205</v>
      </c>
      <c r="G178" s="89" t="s">
        <v>1205</v>
      </c>
      <c r="H178" s="89" t="s">
        <v>1206</v>
      </c>
      <c r="I178" s="89" t="s">
        <v>1206</v>
      </c>
      <c r="J178" s="89" t="s">
        <v>1206</v>
      </c>
      <c r="K178" s="89"/>
      <c r="L178" s="89">
        <v>68</v>
      </c>
      <c r="M178" s="89" t="s">
        <v>353</v>
      </c>
      <c r="N178" s="89" t="s">
        <v>354</v>
      </c>
      <c r="O178" s="89">
        <v>68</v>
      </c>
      <c r="P178" s="89" t="s">
        <v>353</v>
      </c>
      <c r="Q178" s="89" t="s">
        <v>1207</v>
      </c>
      <c r="R178" s="89" t="s">
        <v>356</v>
      </c>
      <c r="S178" s="89"/>
      <c r="T178" s="89"/>
      <c r="U178" s="93"/>
      <c r="V178" s="93"/>
      <c r="W178" s="93"/>
      <c r="X178" s="89"/>
      <c r="Y178" s="89"/>
      <c r="Z178" s="89"/>
      <c r="AA178" s="89"/>
      <c r="AB178" s="93"/>
      <c r="AC178" s="93"/>
      <c r="AD178" s="89"/>
      <c r="AE178" s="89"/>
      <c r="AF178" s="89">
        <v>63</v>
      </c>
      <c r="AG178" s="89">
        <v>26</v>
      </c>
      <c r="AH178" s="89">
        <v>5</v>
      </c>
      <c r="AI178" s="89">
        <v>130</v>
      </c>
      <c r="AJ178" s="89">
        <v>0</v>
      </c>
      <c r="AK178" s="89">
        <v>0</v>
      </c>
      <c r="AL178" s="89">
        <v>3</v>
      </c>
      <c r="AM178" s="89">
        <v>1</v>
      </c>
      <c r="AN178" s="89">
        <v>111</v>
      </c>
      <c r="AO178" s="89">
        <v>4</v>
      </c>
      <c r="AP178" s="89">
        <v>250</v>
      </c>
      <c r="AQ178" s="89">
        <v>6</v>
      </c>
      <c r="AR178" s="89">
        <v>6</v>
      </c>
      <c r="AS178" s="89">
        <v>2</v>
      </c>
      <c r="AT178" s="89">
        <v>0</v>
      </c>
      <c r="AU178" s="89"/>
      <c r="AV178" s="89">
        <v>72</v>
      </c>
      <c r="AW178" s="89" t="s">
        <v>358</v>
      </c>
      <c r="AX178" s="89" t="s">
        <v>373</v>
      </c>
      <c r="AY178" s="89" t="s">
        <v>360</v>
      </c>
      <c r="AZ178" s="89"/>
      <c r="BA178" s="89" t="s">
        <v>360</v>
      </c>
      <c r="BB178" s="89"/>
      <c r="BC178" s="89"/>
      <c r="BD178" s="89"/>
      <c r="BE178" s="89"/>
      <c r="BF178" s="89"/>
      <c r="BG178" s="89" t="s">
        <v>360</v>
      </c>
      <c r="BH178" s="89" t="s">
        <v>1208</v>
      </c>
      <c r="BI178" s="89"/>
      <c r="BJ178" s="89"/>
      <c r="BK178" s="74">
        <v>45078.381550925929</v>
      </c>
      <c r="BL178" s="74">
        <v>45061.613761574074</v>
      </c>
      <c r="BM178" s="89" t="s">
        <v>1209</v>
      </c>
      <c r="BN178" s="89" t="b">
        <v>0</v>
      </c>
      <c r="BO178" s="83"/>
    </row>
    <row r="179" spans="1:67">
      <c r="A179" s="85">
        <v>110394</v>
      </c>
      <c r="B179" s="83" t="s">
        <v>150</v>
      </c>
      <c r="C179" s="83" t="s">
        <v>137</v>
      </c>
      <c r="D179" s="82" t="s">
        <v>1889</v>
      </c>
      <c r="E179" s="82" t="s">
        <v>1890</v>
      </c>
      <c r="F179" s="82" t="s">
        <v>1891</v>
      </c>
      <c r="G179" s="82" t="s">
        <v>1892</v>
      </c>
      <c r="H179" s="82" t="s">
        <v>1893</v>
      </c>
      <c r="I179" s="82" t="s">
        <v>1894</v>
      </c>
      <c r="J179" s="82" t="s">
        <v>1895</v>
      </c>
      <c r="K179" s="82"/>
      <c r="L179" s="82">
        <v>44</v>
      </c>
      <c r="M179" s="82" t="s">
        <v>353</v>
      </c>
      <c r="N179" s="82" t="s">
        <v>354</v>
      </c>
      <c r="O179" s="82">
        <v>44</v>
      </c>
      <c r="P179" s="82" t="s">
        <v>353</v>
      </c>
      <c r="Q179" s="82" t="s">
        <v>1896</v>
      </c>
      <c r="R179" s="82" t="s">
        <v>371</v>
      </c>
      <c r="S179" s="82"/>
      <c r="T179" s="82"/>
      <c r="U179" s="82"/>
      <c r="V179" s="82"/>
      <c r="W179" s="82"/>
      <c r="X179" s="82"/>
      <c r="Y179" s="82"/>
      <c r="Z179" s="82"/>
      <c r="AA179" s="82"/>
      <c r="AB179" s="82"/>
      <c r="AC179" s="82"/>
      <c r="AD179" s="82"/>
      <c r="AE179" s="82"/>
      <c r="AF179" s="82">
        <v>38</v>
      </c>
      <c r="AG179" s="82">
        <v>18</v>
      </c>
      <c r="AH179" s="82">
        <v>0</v>
      </c>
      <c r="AI179" s="82">
        <v>110</v>
      </c>
      <c r="AJ179" s="82">
        <v>1.5</v>
      </c>
      <c r="AK179" s="82">
        <v>0</v>
      </c>
      <c r="AL179" s="82">
        <v>3</v>
      </c>
      <c r="AM179" s="82">
        <v>1</v>
      </c>
      <c r="AN179" s="82">
        <v>152</v>
      </c>
      <c r="AO179" s="82">
        <v>3</v>
      </c>
      <c r="AP179" s="82">
        <v>160</v>
      </c>
      <c r="AQ179" s="82">
        <v>1</v>
      </c>
      <c r="AR179" s="82">
        <v>1</v>
      </c>
      <c r="AS179" s="82">
        <v>3</v>
      </c>
      <c r="AT179" s="82">
        <v>0</v>
      </c>
      <c r="AU179" s="82"/>
      <c r="AV179" s="101">
        <f>24*12</f>
        <v>288</v>
      </c>
      <c r="AW179" s="82" t="s">
        <v>358</v>
      </c>
      <c r="AX179" s="107" t="b">
        <v>1</v>
      </c>
      <c r="AY179" s="82"/>
      <c r="AZ179" s="82"/>
      <c r="BA179" s="82"/>
      <c r="BB179" s="82"/>
      <c r="BC179" s="82"/>
      <c r="BD179" s="82"/>
      <c r="BE179" s="82"/>
      <c r="BF179" s="82"/>
      <c r="BG179" s="82" t="s">
        <v>360</v>
      </c>
      <c r="BH179" s="82" t="s">
        <v>1868</v>
      </c>
      <c r="BI179" s="82"/>
      <c r="BJ179" s="82"/>
      <c r="BK179" s="82" t="s">
        <v>2018</v>
      </c>
      <c r="BL179" s="82" t="s">
        <v>2023</v>
      </c>
      <c r="BM179" s="82" t="s">
        <v>1897</v>
      </c>
      <c r="BN179" s="82" t="b">
        <v>0</v>
      </c>
      <c r="BO179" s="83"/>
    </row>
    <row r="180" spans="1:67">
      <c r="A180" s="73">
        <v>110396</v>
      </c>
      <c r="B180" s="82" t="s">
        <v>79</v>
      </c>
      <c r="C180" s="82" t="s">
        <v>63</v>
      </c>
      <c r="D180" s="82" t="s">
        <v>1840</v>
      </c>
      <c r="E180" s="82" t="s">
        <v>1841</v>
      </c>
      <c r="F180" s="82" t="s">
        <v>1842</v>
      </c>
      <c r="G180" s="82" t="s">
        <v>1843</v>
      </c>
      <c r="H180" s="82" t="s">
        <v>1844</v>
      </c>
      <c r="I180" s="82" t="s">
        <v>1845</v>
      </c>
      <c r="J180" s="82" t="s">
        <v>1846</v>
      </c>
      <c r="K180" s="82" t="s">
        <v>370</v>
      </c>
      <c r="L180" s="82">
        <v>28</v>
      </c>
      <c r="M180" s="82" t="s">
        <v>353</v>
      </c>
      <c r="N180" s="82" t="s">
        <v>354</v>
      </c>
      <c r="O180" s="82">
        <v>28</v>
      </c>
      <c r="P180" s="82" t="s">
        <v>353</v>
      </c>
      <c r="Q180" s="82" t="s">
        <v>1847</v>
      </c>
      <c r="R180" s="82" t="s">
        <v>371</v>
      </c>
      <c r="S180" s="82"/>
      <c r="T180" s="82"/>
      <c r="U180" s="82"/>
      <c r="V180" s="82"/>
      <c r="W180" s="82"/>
      <c r="X180" s="82"/>
      <c r="Y180" s="82"/>
      <c r="Z180" s="82"/>
      <c r="AA180" s="82"/>
      <c r="AB180" s="82"/>
      <c r="AC180" s="82"/>
      <c r="AD180" s="82"/>
      <c r="AE180" s="82"/>
      <c r="AF180" s="82">
        <v>210</v>
      </c>
      <c r="AG180" s="82">
        <v>1</v>
      </c>
      <c r="AH180" s="82">
        <v>15</v>
      </c>
      <c r="AI180" s="82">
        <v>90</v>
      </c>
      <c r="AJ180" s="82">
        <v>3</v>
      </c>
      <c r="AK180" s="82">
        <v>0</v>
      </c>
      <c r="AL180" s="82">
        <v>0</v>
      </c>
      <c r="AM180" s="82">
        <v>0.1</v>
      </c>
      <c r="AN180" s="82">
        <v>50</v>
      </c>
      <c r="AO180" s="82">
        <v>7</v>
      </c>
      <c r="AP180" s="82">
        <v>190</v>
      </c>
      <c r="AQ180" s="82">
        <v>0</v>
      </c>
      <c r="AR180" s="82">
        <v>0</v>
      </c>
      <c r="AS180" s="82">
        <v>6</v>
      </c>
      <c r="AT180" s="82">
        <v>0.1</v>
      </c>
      <c r="AU180" s="82"/>
      <c r="AV180" s="101">
        <v>360</v>
      </c>
      <c r="AW180" s="82" t="s">
        <v>372</v>
      </c>
      <c r="AX180" s="107" t="b">
        <v>1</v>
      </c>
      <c r="AY180" s="82" t="s">
        <v>359</v>
      </c>
      <c r="AZ180" s="82" t="s">
        <v>359</v>
      </c>
      <c r="BA180" s="82" t="s">
        <v>360</v>
      </c>
      <c r="BB180" s="82" t="s">
        <v>359</v>
      </c>
      <c r="BC180" s="82" t="s">
        <v>359</v>
      </c>
      <c r="BD180" s="82" t="s">
        <v>359</v>
      </c>
      <c r="BE180" s="82" t="s">
        <v>359</v>
      </c>
      <c r="BF180" s="82" t="s">
        <v>359</v>
      </c>
      <c r="BG180" s="82" t="s">
        <v>359</v>
      </c>
      <c r="BH180" s="82" t="s">
        <v>400</v>
      </c>
      <c r="BI180" s="82"/>
      <c r="BJ180" s="82"/>
      <c r="BK180" t="s">
        <v>2297</v>
      </c>
      <c r="BL180" t="s">
        <v>2357</v>
      </c>
      <c r="BM180" s="82" t="s">
        <v>1848</v>
      </c>
      <c r="BN180" s="82" t="b">
        <v>0</v>
      </c>
      <c r="BO180" s="83"/>
    </row>
    <row r="181" spans="1:67">
      <c r="A181" s="100">
        <v>110400</v>
      </c>
      <c r="B181" s="89" t="s">
        <v>242</v>
      </c>
      <c r="C181" s="89" t="s">
        <v>239</v>
      </c>
      <c r="D181" s="89" t="s">
        <v>1210</v>
      </c>
      <c r="E181" s="89" t="s">
        <v>1211</v>
      </c>
      <c r="F181" s="89" t="s">
        <v>1212</v>
      </c>
      <c r="G181" s="89" t="s">
        <v>1212</v>
      </c>
      <c r="H181" s="82" t="s">
        <v>1213</v>
      </c>
      <c r="I181" s="89" t="s">
        <v>1214</v>
      </c>
      <c r="J181" s="89" t="s">
        <v>239</v>
      </c>
      <c r="K181" s="89" t="s">
        <v>370</v>
      </c>
      <c r="L181" s="89">
        <v>113</v>
      </c>
      <c r="M181" s="89" t="s">
        <v>353</v>
      </c>
      <c r="N181" s="89" t="s">
        <v>354</v>
      </c>
      <c r="O181" s="89">
        <v>113</v>
      </c>
      <c r="P181" s="89" t="s">
        <v>353</v>
      </c>
      <c r="Q181" s="89" t="s">
        <v>541</v>
      </c>
      <c r="R181" s="89" t="s">
        <v>356</v>
      </c>
      <c r="S181" s="89"/>
      <c r="T181" s="89"/>
      <c r="U181" s="89"/>
      <c r="V181" s="89"/>
      <c r="W181" s="89"/>
      <c r="X181" s="89"/>
      <c r="Y181" s="89"/>
      <c r="Z181" s="89"/>
      <c r="AA181" s="89"/>
      <c r="AB181" s="89"/>
      <c r="AC181" s="89"/>
      <c r="AD181" s="89"/>
      <c r="AE181" s="89"/>
      <c r="AF181" s="89">
        <v>110</v>
      </c>
      <c r="AG181" s="89">
        <v>13</v>
      </c>
      <c r="AH181" s="89">
        <v>5</v>
      </c>
      <c r="AI181" s="89">
        <v>90</v>
      </c>
      <c r="AJ181" s="89">
        <v>0</v>
      </c>
      <c r="AK181" s="89">
        <v>0</v>
      </c>
      <c r="AL181" s="89">
        <v>1</v>
      </c>
      <c r="AM181" s="89">
        <v>0</v>
      </c>
      <c r="AN181" s="89">
        <v>140</v>
      </c>
      <c r="AO181" s="89">
        <v>9</v>
      </c>
      <c r="AP181" s="89">
        <v>45</v>
      </c>
      <c r="AQ181" s="89">
        <v>12</v>
      </c>
      <c r="AR181" s="89">
        <v>8</v>
      </c>
      <c r="AS181" s="89">
        <v>0</v>
      </c>
      <c r="AT181" s="89">
        <v>0</v>
      </c>
      <c r="AU181" s="89"/>
      <c r="AV181" s="89">
        <v>24</v>
      </c>
      <c r="AW181" s="89" t="s">
        <v>372</v>
      </c>
      <c r="AX181" s="89" t="b">
        <v>1</v>
      </c>
      <c r="AY181" s="89" t="s">
        <v>359</v>
      </c>
      <c r="AZ181" s="89" t="s">
        <v>359</v>
      </c>
      <c r="BA181" s="89" t="s">
        <v>360</v>
      </c>
      <c r="BB181" s="89" t="s">
        <v>359</v>
      </c>
      <c r="BC181" s="89" t="s">
        <v>359</v>
      </c>
      <c r="BD181" s="89" t="s">
        <v>359</v>
      </c>
      <c r="BE181" s="89" t="s">
        <v>359</v>
      </c>
      <c r="BF181" s="89" t="s">
        <v>359</v>
      </c>
      <c r="BG181" s="89" t="s">
        <v>359</v>
      </c>
      <c r="BH181" s="89" t="s">
        <v>1215</v>
      </c>
      <c r="BI181" s="89" t="s">
        <v>656</v>
      </c>
      <c r="BJ181" s="89"/>
      <c r="BK181" t="s">
        <v>2105</v>
      </c>
      <c r="BL181" t="s">
        <v>2107</v>
      </c>
      <c r="BM181" s="82" t="s">
        <v>1216</v>
      </c>
      <c r="BN181" s="83" t="b">
        <v>0</v>
      </c>
      <c r="BO181" s="83"/>
    </row>
    <row r="182" spans="1:67">
      <c r="A182" s="73">
        <v>110401</v>
      </c>
      <c r="B182" s="82" t="s">
        <v>244</v>
      </c>
      <c r="C182" s="89" t="s">
        <v>239</v>
      </c>
      <c r="D182" s="89" t="s">
        <v>1217</v>
      </c>
      <c r="E182" s="89" t="s">
        <v>1211</v>
      </c>
      <c r="F182" s="89" t="s">
        <v>1212</v>
      </c>
      <c r="G182" s="89" t="s">
        <v>1212</v>
      </c>
      <c r="H182" s="82" t="s">
        <v>1218</v>
      </c>
      <c r="I182" s="89" t="s">
        <v>1219</v>
      </c>
      <c r="J182" s="89" t="s">
        <v>239</v>
      </c>
      <c r="K182" s="89" t="s">
        <v>370</v>
      </c>
      <c r="L182" s="89">
        <v>113</v>
      </c>
      <c r="M182" s="89" t="s">
        <v>353</v>
      </c>
      <c r="N182" s="89" t="s">
        <v>354</v>
      </c>
      <c r="O182" s="89">
        <v>113</v>
      </c>
      <c r="P182" s="89" t="s">
        <v>353</v>
      </c>
      <c r="Q182" s="89" t="s">
        <v>541</v>
      </c>
      <c r="R182" s="89" t="s">
        <v>356</v>
      </c>
      <c r="S182" s="89"/>
      <c r="T182" s="89"/>
      <c r="U182" s="89"/>
      <c r="V182" s="89"/>
      <c r="W182" s="89"/>
      <c r="X182" s="89"/>
      <c r="Y182" s="89"/>
      <c r="Z182" s="89"/>
      <c r="AA182" s="89"/>
      <c r="AB182" s="89"/>
      <c r="AC182" s="89"/>
      <c r="AD182" s="89"/>
      <c r="AE182" s="89"/>
      <c r="AF182" s="89">
        <v>110</v>
      </c>
      <c r="AG182" s="89">
        <v>12</v>
      </c>
      <c r="AH182" s="89">
        <v>5</v>
      </c>
      <c r="AI182" s="89">
        <v>90</v>
      </c>
      <c r="AJ182" s="89">
        <v>0</v>
      </c>
      <c r="AK182" s="89">
        <v>0</v>
      </c>
      <c r="AL182" s="89">
        <v>1</v>
      </c>
      <c r="AM182" s="89">
        <v>0</v>
      </c>
      <c r="AN182" s="89">
        <v>140</v>
      </c>
      <c r="AO182" s="89">
        <v>9</v>
      </c>
      <c r="AP182" s="89">
        <v>70</v>
      </c>
      <c r="AQ182" s="89">
        <v>11</v>
      </c>
      <c r="AR182" s="89">
        <v>8</v>
      </c>
      <c r="AS182" s="89">
        <v>0</v>
      </c>
      <c r="AT182" s="89">
        <v>0</v>
      </c>
      <c r="AU182" s="89"/>
      <c r="AV182" s="89">
        <v>24</v>
      </c>
      <c r="AW182" s="89" t="s">
        <v>372</v>
      </c>
      <c r="AX182" s="89" t="b">
        <v>1</v>
      </c>
      <c r="AY182" s="89" t="s">
        <v>359</v>
      </c>
      <c r="AZ182" s="89" t="s">
        <v>359</v>
      </c>
      <c r="BA182" s="89" t="s">
        <v>360</v>
      </c>
      <c r="BB182" s="89" t="s">
        <v>359</v>
      </c>
      <c r="BC182" s="89" t="s">
        <v>359</v>
      </c>
      <c r="BD182" s="89" t="s">
        <v>359</v>
      </c>
      <c r="BE182" s="89" t="s">
        <v>359</v>
      </c>
      <c r="BF182" s="89" t="s">
        <v>359</v>
      </c>
      <c r="BG182" s="89" t="s">
        <v>359</v>
      </c>
      <c r="BH182" s="82" t="s">
        <v>1220</v>
      </c>
      <c r="BI182" s="89" t="s">
        <v>656</v>
      </c>
      <c r="BJ182" s="89"/>
      <c r="BK182" t="s">
        <v>2105</v>
      </c>
      <c r="BL182" t="s">
        <v>2107</v>
      </c>
      <c r="BM182" s="82" t="s">
        <v>1221</v>
      </c>
      <c r="BN182" s="89" t="b">
        <v>0</v>
      </c>
      <c r="BO182" s="94"/>
    </row>
    <row r="183" spans="1:67">
      <c r="A183" s="100">
        <v>110402</v>
      </c>
      <c r="B183" s="89" t="s">
        <v>240</v>
      </c>
      <c r="C183" s="89" t="s">
        <v>239</v>
      </c>
      <c r="D183" s="89" t="s">
        <v>1222</v>
      </c>
      <c r="E183" s="89" t="s">
        <v>1211</v>
      </c>
      <c r="F183" s="89" t="s">
        <v>1212</v>
      </c>
      <c r="G183" s="89" t="s">
        <v>1212</v>
      </c>
      <c r="H183" s="82" t="s">
        <v>1223</v>
      </c>
      <c r="I183" s="89" t="s">
        <v>1224</v>
      </c>
      <c r="J183" s="89" t="s">
        <v>239</v>
      </c>
      <c r="K183" s="89" t="s">
        <v>370</v>
      </c>
      <c r="L183" s="89">
        <v>113</v>
      </c>
      <c r="M183" s="89" t="s">
        <v>353</v>
      </c>
      <c r="N183" s="89" t="s">
        <v>354</v>
      </c>
      <c r="O183" s="89">
        <v>113</v>
      </c>
      <c r="P183" s="89" t="s">
        <v>353</v>
      </c>
      <c r="Q183" s="89" t="s">
        <v>541</v>
      </c>
      <c r="R183" s="89" t="s">
        <v>356</v>
      </c>
      <c r="S183" s="89"/>
      <c r="T183" s="89"/>
      <c r="U183" s="89"/>
      <c r="V183" s="89"/>
      <c r="W183" s="89"/>
      <c r="X183" s="89"/>
      <c r="Y183" s="89"/>
      <c r="Z183" s="89"/>
      <c r="AA183" s="89"/>
      <c r="AB183" s="89"/>
      <c r="AC183" s="89"/>
      <c r="AD183" s="89"/>
      <c r="AE183" s="89"/>
      <c r="AF183" s="89">
        <v>110</v>
      </c>
      <c r="AG183" s="89">
        <v>11</v>
      </c>
      <c r="AH183" s="89">
        <v>5</v>
      </c>
      <c r="AI183" s="89">
        <v>80</v>
      </c>
      <c r="AJ183" s="89">
        <v>0</v>
      </c>
      <c r="AK183" s="89">
        <v>0</v>
      </c>
      <c r="AL183" s="89">
        <v>0</v>
      </c>
      <c r="AM183" s="89">
        <v>0</v>
      </c>
      <c r="AN183" s="89">
        <v>150</v>
      </c>
      <c r="AO183" s="89">
        <v>9</v>
      </c>
      <c r="AP183" s="89">
        <v>40</v>
      </c>
      <c r="AQ183" s="89">
        <v>11</v>
      </c>
      <c r="AR183" s="89">
        <v>7</v>
      </c>
      <c r="AS183" s="89">
        <v>0</v>
      </c>
      <c r="AT183" s="89">
        <v>0</v>
      </c>
      <c r="AU183" s="89"/>
      <c r="AV183" s="89">
        <v>24</v>
      </c>
      <c r="AW183" s="89" t="s">
        <v>372</v>
      </c>
      <c r="AX183" s="89" t="b">
        <v>1</v>
      </c>
      <c r="AY183" s="89" t="s">
        <v>359</v>
      </c>
      <c r="AZ183" s="89" t="s">
        <v>359</v>
      </c>
      <c r="BA183" s="89" t="s">
        <v>360</v>
      </c>
      <c r="BB183" s="89" t="s">
        <v>359</v>
      </c>
      <c r="BC183" s="89" t="s">
        <v>359</v>
      </c>
      <c r="BD183" s="89" t="s">
        <v>359</v>
      </c>
      <c r="BE183" s="89" t="s">
        <v>359</v>
      </c>
      <c r="BF183" s="89" t="s">
        <v>359</v>
      </c>
      <c r="BG183" s="89" t="s">
        <v>359</v>
      </c>
      <c r="BH183" s="89" t="s">
        <v>1215</v>
      </c>
      <c r="BI183" s="89" t="s">
        <v>656</v>
      </c>
      <c r="BJ183" s="89"/>
      <c r="BK183" t="s">
        <v>2105</v>
      </c>
      <c r="BL183" t="s">
        <v>2107</v>
      </c>
      <c r="BM183" s="82" t="s">
        <v>1225</v>
      </c>
      <c r="BN183" s="89" t="b">
        <v>0</v>
      </c>
      <c r="BO183" s="83"/>
    </row>
    <row r="184" spans="1:67">
      <c r="A184" s="85">
        <v>110462</v>
      </c>
      <c r="B184" s="83" t="s">
        <v>204</v>
      </c>
      <c r="C184" s="83" t="s">
        <v>189</v>
      </c>
      <c r="D184" s="83" t="s">
        <v>1226</v>
      </c>
      <c r="E184" s="83" t="s">
        <v>480</v>
      </c>
      <c r="F184" s="83" t="s">
        <v>481</v>
      </c>
      <c r="G184" s="83" t="s">
        <v>481</v>
      </c>
      <c r="H184" s="83" t="s">
        <v>1227</v>
      </c>
      <c r="I184" s="83" t="s">
        <v>1228</v>
      </c>
      <c r="J184" s="83" t="s">
        <v>484</v>
      </c>
      <c r="K184" t="s">
        <v>500</v>
      </c>
      <c r="L184" s="82">
        <v>84</v>
      </c>
      <c r="M184" s="82" t="s">
        <v>353</v>
      </c>
      <c r="N184" s="82" t="s">
        <v>419</v>
      </c>
      <c r="O184" s="82">
        <v>84</v>
      </c>
      <c r="P184" s="82" t="s">
        <v>353</v>
      </c>
      <c r="Q184" s="82" t="s">
        <v>473</v>
      </c>
      <c r="R184" s="83" t="s">
        <v>474</v>
      </c>
      <c r="S184" s="108" t="s">
        <v>1229</v>
      </c>
      <c r="T184" s="83"/>
      <c r="U184" s="84"/>
      <c r="V184" s="84"/>
      <c r="W184" s="84"/>
      <c r="X184" s="83"/>
      <c r="Y184" s="83"/>
      <c r="Z184" s="83"/>
      <c r="AA184" s="83"/>
      <c r="AB184" s="84"/>
      <c r="AC184" s="84"/>
      <c r="AD184" s="83"/>
      <c r="AE184" s="108" t="s">
        <v>1230</v>
      </c>
      <c r="AF184" s="82">
        <v>5.17</v>
      </c>
      <c r="AG184" s="82">
        <v>0</v>
      </c>
      <c r="AH184" s="82">
        <v>65</v>
      </c>
      <c r="AI184" s="82">
        <v>100</v>
      </c>
      <c r="AJ184" s="82">
        <v>1</v>
      </c>
      <c r="AK184" s="82">
        <v>0</v>
      </c>
      <c r="AL184" s="82">
        <v>0</v>
      </c>
      <c r="AM184" s="82">
        <v>0.36</v>
      </c>
      <c r="AN184" s="82">
        <v>282.47000000000003</v>
      </c>
      <c r="AO184" s="82">
        <v>17</v>
      </c>
      <c r="AP184" s="82">
        <v>140</v>
      </c>
      <c r="AQ184" s="82">
        <v>0</v>
      </c>
      <c r="AR184" s="82"/>
      <c r="AS184" s="83">
        <v>4.1399999999999997</v>
      </c>
      <c r="AT184" s="82">
        <v>7.0000000000000007E-2</v>
      </c>
      <c r="AU184" s="82"/>
      <c r="AV184" s="101">
        <f>27*6</f>
        <v>162</v>
      </c>
      <c r="AW184" s="82" t="s">
        <v>358</v>
      </c>
      <c r="AX184" s="107" t="b">
        <v>1</v>
      </c>
      <c r="AY184" s="82"/>
      <c r="AZ184" s="82"/>
      <c r="BA184" s="82"/>
      <c r="BB184" s="82"/>
      <c r="BC184" s="82"/>
      <c r="BD184" s="82"/>
      <c r="BE184" s="82"/>
      <c r="BF184" s="82"/>
      <c r="BG184" s="82"/>
      <c r="BH184" s="82"/>
      <c r="BI184" s="82"/>
      <c r="BJ184" s="82"/>
      <c r="BK184" t="s">
        <v>2105</v>
      </c>
      <c r="BL184" t="s">
        <v>2130</v>
      </c>
      <c r="BM184" s="83" t="s">
        <v>1231</v>
      </c>
      <c r="BN184" s="82" t="b">
        <v>1</v>
      </c>
      <c r="BO184" s="83"/>
    </row>
    <row r="185" spans="1:67">
      <c r="A185" s="73">
        <v>110462</v>
      </c>
      <c r="B185" s="82" t="s">
        <v>204</v>
      </c>
      <c r="C185" s="82" t="s">
        <v>189</v>
      </c>
      <c r="D185" s="82" t="s">
        <v>1232</v>
      </c>
      <c r="E185" s="82" t="s">
        <v>1233</v>
      </c>
      <c r="F185" s="82" t="s">
        <v>1849</v>
      </c>
      <c r="G185" s="82" t="s">
        <v>1850</v>
      </c>
      <c r="H185" s="82" t="s">
        <v>1234</v>
      </c>
      <c r="I185" s="82" t="s">
        <v>1235</v>
      </c>
      <c r="J185" s="82" t="s">
        <v>1236</v>
      </c>
      <c r="K185" s="82" t="s">
        <v>370</v>
      </c>
      <c r="L185" s="82">
        <v>84</v>
      </c>
      <c r="M185" s="82" t="s">
        <v>353</v>
      </c>
      <c r="N185" s="82" t="s">
        <v>419</v>
      </c>
      <c r="O185" s="82">
        <v>100</v>
      </c>
      <c r="P185" s="82" t="s">
        <v>353</v>
      </c>
      <c r="Q185" s="82" t="s">
        <v>473</v>
      </c>
      <c r="R185" s="82" t="s">
        <v>356</v>
      </c>
      <c r="S185" s="108" t="s">
        <v>1237</v>
      </c>
      <c r="T185" s="82"/>
      <c r="U185" s="82"/>
      <c r="V185" s="82"/>
      <c r="W185" s="82"/>
      <c r="X185" s="82"/>
      <c r="Y185" s="82"/>
      <c r="Z185" s="82"/>
      <c r="AA185" s="82"/>
      <c r="AB185" s="82"/>
      <c r="AC185" s="82"/>
      <c r="AD185" s="82"/>
      <c r="AE185" s="108" t="s">
        <v>1238</v>
      </c>
      <c r="AF185" s="82">
        <v>8.4</v>
      </c>
      <c r="AG185" s="82">
        <v>0</v>
      </c>
      <c r="AH185" s="82">
        <v>50.4</v>
      </c>
      <c r="AI185" s="82">
        <v>92.4</v>
      </c>
      <c r="AJ185" s="82">
        <v>0.42</v>
      </c>
      <c r="AK185" s="82">
        <v>0</v>
      </c>
      <c r="AL185" s="82">
        <v>0</v>
      </c>
      <c r="AM185" s="82">
        <v>0.58799999999999997</v>
      </c>
      <c r="AN185" s="82">
        <v>386.4</v>
      </c>
      <c r="AO185" s="82">
        <v>19.32</v>
      </c>
      <c r="AP185" s="82">
        <v>168</v>
      </c>
      <c r="AQ185" s="82">
        <v>0</v>
      </c>
      <c r="AR185" s="82">
        <v>0</v>
      </c>
      <c r="AS185" s="82">
        <v>1.68</v>
      </c>
      <c r="AT185" s="82">
        <v>4</v>
      </c>
      <c r="AU185" s="82"/>
      <c r="AV185" s="82">
        <v>160</v>
      </c>
      <c r="AW185" s="82" t="s">
        <v>358</v>
      </c>
      <c r="AX185" s="82" t="b">
        <v>1</v>
      </c>
      <c r="AY185" s="82" t="s">
        <v>359</v>
      </c>
      <c r="AZ185" s="82" t="s">
        <v>359</v>
      </c>
      <c r="BA185" s="82" t="s">
        <v>359</v>
      </c>
      <c r="BB185" s="82" t="s">
        <v>359</v>
      </c>
      <c r="BC185" s="82" t="s">
        <v>359</v>
      </c>
      <c r="BD185" s="82" t="s">
        <v>359</v>
      </c>
      <c r="BE185" s="82" t="s">
        <v>359</v>
      </c>
      <c r="BF185" s="82" t="s">
        <v>359</v>
      </c>
      <c r="BG185" s="82" t="s">
        <v>359</v>
      </c>
      <c r="BH185" s="82" t="s">
        <v>1239</v>
      </c>
      <c r="BI185" s="82"/>
      <c r="BJ185" s="82"/>
      <c r="BK185" s="74">
        <v>45352.441331018519</v>
      </c>
      <c r="BL185" s="74">
        <v>45338.412141203713</v>
      </c>
      <c r="BM185" s="82" t="s">
        <v>1240</v>
      </c>
      <c r="BN185" s="82" t="b">
        <v>1</v>
      </c>
      <c r="BO185" s="94"/>
    </row>
    <row r="186" spans="1:67">
      <c r="A186" s="100">
        <v>110462</v>
      </c>
      <c r="B186" s="89" t="s">
        <v>204</v>
      </c>
      <c r="C186" s="89" t="s">
        <v>189</v>
      </c>
      <c r="D186" s="89" t="s">
        <v>1241</v>
      </c>
      <c r="E186" s="89" t="s">
        <v>468</v>
      </c>
      <c r="F186" s="89" t="s">
        <v>469</v>
      </c>
      <c r="G186" s="89" t="s">
        <v>469</v>
      </c>
      <c r="H186" s="89" t="s">
        <v>1242</v>
      </c>
      <c r="I186" s="89" t="s">
        <v>1243</v>
      </c>
      <c r="J186" s="89" t="s">
        <v>472</v>
      </c>
      <c r="K186" s="89" t="s">
        <v>370</v>
      </c>
      <c r="L186" s="104">
        <v>84</v>
      </c>
      <c r="M186" s="89" t="s">
        <v>353</v>
      </c>
      <c r="N186" s="89" t="s">
        <v>354</v>
      </c>
      <c r="O186" s="104">
        <v>84</v>
      </c>
      <c r="P186" s="89" t="s">
        <v>353</v>
      </c>
      <c r="Q186" s="89" t="s">
        <v>473</v>
      </c>
      <c r="R186" s="89" t="s">
        <v>474</v>
      </c>
      <c r="S186" s="89"/>
      <c r="T186" s="89"/>
      <c r="U186" s="89"/>
      <c r="V186" s="89"/>
      <c r="W186" s="89"/>
      <c r="X186" s="89"/>
      <c r="Y186" s="89"/>
      <c r="Z186" s="89"/>
      <c r="AA186" s="89"/>
      <c r="AB186" s="89"/>
      <c r="AC186" s="89"/>
      <c r="AD186" s="89"/>
      <c r="AE186" s="89"/>
      <c r="AF186" s="89">
        <v>10</v>
      </c>
      <c r="AG186" s="89">
        <v>1</v>
      </c>
      <c r="AH186" s="89">
        <v>70</v>
      </c>
      <c r="AI186" s="89">
        <v>120</v>
      </c>
      <c r="AJ186" s="89">
        <v>1.5</v>
      </c>
      <c r="AK186" s="89">
        <v>0</v>
      </c>
      <c r="AL186" s="89">
        <v>0</v>
      </c>
      <c r="AM186" s="89">
        <v>0.5</v>
      </c>
      <c r="AN186" s="89">
        <v>340</v>
      </c>
      <c r="AO186" s="89">
        <v>19</v>
      </c>
      <c r="AP186" s="89">
        <v>200</v>
      </c>
      <c r="AQ186" s="89">
        <v>0</v>
      </c>
      <c r="AR186" s="89">
        <v>0</v>
      </c>
      <c r="AS186" s="89">
        <v>5</v>
      </c>
      <c r="AT186" s="89">
        <v>0</v>
      </c>
      <c r="AU186" s="89" t="s">
        <v>357</v>
      </c>
      <c r="AV186" s="104">
        <v>160</v>
      </c>
      <c r="AW186" s="89" t="s">
        <v>358</v>
      </c>
      <c r="AX186" s="106" t="b">
        <v>1</v>
      </c>
      <c r="AY186" s="82" t="s">
        <v>476</v>
      </c>
      <c r="AZ186" s="82" t="s">
        <v>476</v>
      </c>
      <c r="BA186" s="82" t="s">
        <v>476</v>
      </c>
      <c r="BB186" s="82" t="s">
        <v>476</v>
      </c>
      <c r="BC186" s="82" t="s">
        <v>476</v>
      </c>
      <c r="BD186" s="82" t="s">
        <v>476</v>
      </c>
      <c r="BE186" s="82" t="s">
        <v>476</v>
      </c>
      <c r="BF186" s="82" t="s">
        <v>476</v>
      </c>
      <c r="BG186" s="82" t="s">
        <v>476</v>
      </c>
      <c r="BH186" s="89" t="s">
        <v>361</v>
      </c>
      <c r="BI186" s="89"/>
      <c r="BJ186" s="89"/>
      <c r="BK186" s="82" t="s">
        <v>2018</v>
      </c>
      <c r="BL186" s="82" t="s">
        <v>2039</v>
      </c>
      <c r="BM186" s="89" t="s">
        <v>1244</v>
      </c>
      <c r="BN186" s="89" t="b">
        <v>0</v>
      </c>
      <c r="BO186" s="83"/>
    </row>
    <row r="187" spans="1:67">
      <c r="A187" s="100">
        <v>110473</v>
      </c>
      <c r="B187" s="89" t="s">
        <v>232</v>
      </c>
      <c r="C187" s="89" t="s">
        <v>209</v>
      </c>
      <c r="D187" s="89" t="s">
        <v>1245</v>
      </c>
      <c r="E187" t="s">
        <v>2127</v>
      </c>
      <c r="F187" s="82" t="s">
        <v>762</v>
      </c>
      <c r="G187" s="89" t="s">
        <v>762</v>
      </c>
      <c r="H187" s="89" t="s">
        <v>209</v>
      </c>
      <c r="I187" s="89" t="s">
        <v>1246</v>
      </c>
      <c r="J187" s="89" t="s">
        <v>1247</v>
      </c>
      <c r="K187" s="89"/>
      <c r="L187" s="104">
        <v>42</v>
      </c>
      <c r="M187" s="89" t="s">
        <v>353</v>
      </c>
      <c r="N187" s="89" t="s">
        <v>354</v>
      </c>
      <c r="O187" s="104">
        <v>42</v>
      </c>
      <c r="P187" s="89" t="s">
        <v>353</v>
      </c>
      <c r="Q187" s="89" t="s">
        <v>630</v>
      </c>
      <c r="R187" s="89" t="s">
        <v>564</v>
      </c>
      <c r="S187" s="89"/>
      <c r="T187" s="89"/>
      <c r="U187" s="93"/>
      <c r="V187" s="93"/>
      <c r="W187" s="93"/>
      <c r="X187" s="89"/>
      <c r="Y187" s="89"/>
      <c r="Z187" s="89"/>
      <c r="AA187" s="89"/>
      <c r="AB187" s="93"/>
      <c r="AC187" s="93"/>
      <c r="AD187" s="89"/>
      <c r="AE187" s="89"/>
      <c r="AF187" s="89">
        <v>20</v>
      </c>
      <c r="AG187" s="89">
        <v>2</v>
      </c>
      <c r="AH187" s="89">
        <v>0</v>
      </c>
      <c r="AI187" s="89">
        <v>10</v>
      </c>
      <c r="AJ187" s="89">
        <v>0</v>
      </c>
      <c r="AK187" s="89">
        <v>0</v>
      </c>
      <c r="AL187" s="89">
        <v>1</v>
      </c>
      <c r="AM187" s="89">
        <v>0.5</v>
      </c>
      <c r="AN187" s="89">
        <v>90</v>
      </c>
      <c r="AO187" s="89">
        <v>1</v>
      </c>
      <c r="AP187" s="89">
        <v>10</v>
      </c>
      <c r="AQ187" s="89">
        <v>0</v>
      </c>
      <c r="AR187" s="89">
        <v>0</v>
      </c>
      <c r="AS187" s="89">
        <v>0</v>
      </c>
      <c r="AT187" s="89">
        <v>0</v>
      </c>
      <c r="AU187" s="89"/>
      <c r="AV187" s="104">
        <v>323</v>
      </c>
      <c r="AW187" s="89" t="s">
        <v>372</v>
      </c>
      <c r="AX187" s="106" t="s">
        <v>373</v>
      </c>
      <c r="AY187" s="89" t="s">
        <v>359</v>
      </c>
      <c r="AZ187" s="89" t="s">
        <v>359</v>
      </c>
      <c r="BA187" s="89" t="s">
        <v>359</v>
      </c>
      <c r="BB187" s="89" t="s">
        <v>359</v>
      </c>
      <c r="BC187" s="89" t="s">
        <v>359</v>
      </c>
      <c r="BD187" s="89" t="s">
        <v>359</v>
      </c>
      <c r="BE187" s="89" t="s">
        <v>359</v>
      </c>
      <c r="BF187" s="89" t="s">
        <v>359</v>
      </c>
      <c r="BG187" s="89" t="s">
        <v>359</v>
      </c>
      <c r="BH187" s="89" t="s">
        <v>766</v>
      </c>
      <c r="BI187" s="89"/>
      <c r="BJ187" s="89"/>
      <c r="BK187" t="s">
        <v>2105</v>
      </c>
      <c r="BL187" t="s">
        <v>2125</v>
      </c>
      <c r="BM187" s="89" t="s">
        <v>1246</v>
      </c>
      <c r="BN187" s="89" t="b">
        <v>0</v>
      </c>
      <c r="BO187" s="83"/>
    </row>
    <row r="188" spans="1:67">
      <c r="A188">
        <v>110473</v>
      </c>
      <c r="B188" t="s">
        <v>232</v>
      </c>
      <c r="C188" t="s">
        <v>209</v>
      </c>
      <c r="D188" t="s">
        <v>2323</v>
      </c>
      <c r="E188" t="s">
        <v>2324</v>
      </c>
      <c r="F188" t="s">
        <v>762</v>
      </c>
      <c r="G188" t="s">
        <v>762</v>
      </c>
      <c r="H188" t="s">
        <v>969</v>
      </c>
      <c r="I188" t="s">
        <v>1246</v>
      </c>
      <c r="J188" t="s">
        <v>969</v>
      </c>
      <c r="L188">
        <v>42</v>
      </c>
      <c r="M188" t="s">
        <v>353</v>
      </c>
      <c r="N188" t="s">
        <v>354</v>
      </c>
      <c r="O188">
        <v>42</v>
      </c>
      <c r="P188" t="s">
        <v>353</v>
      </c>
      <c r="Q188" t="s">
        <v>758</v>
      </c>
      <c r="R188" t="s">
        <v>564</v>
      </c>
      <c r="U188"/>
      <c r="V188"/>
      <c r="W188"/>
      <c r="AB188"/>
      <c r="AC188"/>
      <c r="AF188">
        <v>20</v>
      </c>
      <c r="AG188">
        <v>2</v>
      </c>
      <c r="AH188">
        <v>0</v>
      </c>
      <c r="AI188">
        <v>10</v>
      </c>
      <c r="AJ188">
        <v>0</v>
      </c>
      <c r="AK188">
        <v>0</v>
      </c>
      <c r="AL188">
        <v>1</v>
      </c>
      <c r="AM188">
        <v>0.3</v>
      </c>
      <c r="AN188">
        <v>110</v>
      </c>
      <c r="AO188">
        <v>1</v>
      </c>
      <c r="AP188">
        <v>5</v>
      </c>
      <c r="AQ188">
        <v>1</v>
      </c>
      <c r="AR188">
        <v>0</v>
      </c>
      <c r="AS188">
        <v>0</v>
      </c>
      <c r="AT188">
        <v>0</v>
      </c>
      <c r="AV188">
        <v>323</v>
      </c>
      <c r="AW188" t="s">
        <v>372</v>
      </c>
      <c r="AX188" t="b">
        <v>1</v>
      </c>
      <c r="AY188" t="s">
        <v>359</v>
      </c>
      <c r="AZ188" t="s">
        <v>359</v>
      </c>
      <c r="BA188" t="s">
        <v>359</v>
      </c>
      <c r="BB188" t="s">
        <v>359</v>
      </c>
      <c r="BC188" t="s">
        <v>359</v>
      </c>
      <c r="BD188" t="s">
        <v>359</v>
      </c>
      <c r="BE188" t="s">
        <v>359</v>
      </c>
      <c r="BF188" t="s">
        <v>359</v>
      </c>
      <c r="BG188" t="s">
        <v>359</v>
      </c>
      <c r="BH188" t="s">
        <v>2296</v>
      </c>
      <c r="BK188" t="s">
        <v>2297</v>
      </c>
      <c r="BL188" t="s">
        <v>2298</v>
      </c>
      <c r="BM188" t="s">
        <v>1246</v>
      </c>
      <c r="BN188" t="b">
        <v>0</v>
      </c>
      <c r="BO188" s="94"/>
    </row>
    <row r="189" spans="1:67">
      <c r="A189" s="82">
        <v>110480</v>
      </c>
      <c r="B189" s="82" t="s">
        <v>233</v>
      </c>
      <c r="C189" s="82" t="s">
        <v>209</v>
      </c>
      <c r="D189" s="82" t="s">
        <v>1977</v>
      </c>
      <c r="E189" s="82" t="s">
        <v>963</v>
      </c>
      <c r="F189" s="82" t="s">
        <v>829</v>
      </c>
      <c r="G189" s="82" t="s">
        <v>829</v>
      </c>
      <c r="H189" s="82" t="s">
        <v>1978</v>
      </c>
      <c r="I189" s="82" t="s">
        <v>1979</v>
      </c>
      <c r="J189" s="82" t="s">
        <v>1978</v>
      </c>
      <c r="K189" s="82" t="s">
        <v>370</v>
      </c>
      <c r="L189" s="82">
        <v>85</v>
      </c>
      <c r="M189" s="82" t="s">
        <v>353</v>
      </c>
      <c r="N189" s="82" t="s">
        <v>354</v>
      </c>
      <c r="O189" s="82">
        <v>2000</v>
      </c>
      <c r="P189" s="82" t="s">
        <v>1932</v>
      </c>
      <c r="Q189" s="82" t="s">
        <v>630</v>
      </c>
      <c r="R189" s="82" t="s">
        <v>966</v>
      </c>
      <c r="S189" s="82"/>
      <c r="T189" s="82"/>
      <c r="U189" s="82"/>
      <c r="V189" s="82"/>
      <c r="W189" s="82"/>
      <c r="X189" s="82"/>
      <c r="Y189" s="82"/>
      <c r="Z189" s="82"/>
      <c r="AA189" s="82"/>
      <c r="AB189" s="82"/>
      <c r="AC189" s="82"/>
      <c r="AD189" s="82"/>
      <c r="AE189" s="82"/>
      <c r="AF189" s="82">
        <v>30</v>
      </c>
      <c r="AG189" s="82">
        <v>7</v>
      </c>
      <c r="AH189" s="82">
        <v>0</v>
      </c>
      <c r="AI189" s="82">
        <v>30</v>
      </c>
      <c r="AJ189" s="82">
        <v>0</v>
      </c>
      <c r="AK189" s="82">
        <v>0</v>
      </c>
      <c r="AL189" s="82">
        <v>3</v>
      </c>
      <c r="AM189" s="82">
        <v>0.4</v>
      </c>
      <c r="AN189" s="82">
        <v>200</v>
      </c>
      <c r="AO189" s="82">
        <v>1</v>
      </c>
      <c r="AP189" s="82">
        <v>60</v>
      </c>
      <c r="AQ189" s="82">
        <v>4</v>
      </c>
      <c r="AR189" s="82">
        <v>0</v>
      </c>
      <c r="AS189" s="82">
        <v>0</v>
      </c>
      <c r="AT189" s="82">
        <v>0</v>
      </c>
      <c r="AU189" s="82"/>
      <c r="AV189" s="82">
        <v>160</v>
      </c>
      <c r="AW189" s="82" t="s">
        <v>358</v>
      </c>
      <c r="AX189" s="82" t="b">
        <v>1</v>
      </c>
      <c r="AY189" s="82" t="s">
        <v>359</v>
      </c>
      <c r="AZ189" s="82" t="s">
        <v>359</v>
      </c>
      <c r="BA189" s="82" t="s">
        <v>359</v>
      </c>
      <c r="BB189" s="82" t="s">
        <v>359</v>
      </c>
      <c r="BC189" s="82" t="s">
        <v>359</v>
      </c>
      <c r="BD189" s="82" t="s">
        <v>359</v>
      </c>
      <c r="BE189" s="82" t="s">
        <v>359</v>
      </c>
      <c r="BF189" s="82" t="s">
        <v>359</v>
      </c>
      <c r="BG189" s="82" t="s">
        <v>359</v>
      </c>
      <c r="BH189" s="82" t="s">
        <v>867</v>
      </c>
      <c r="BI189" s="82"/>
      <c r="BJ189" s="82"/>
      <c r="BK189" s="82" t="s">
        <v>1990</v>
      </c>
      <c r="BL189" s="82" t="s">
        <v>1991</v>
      </c>
      <c r="BM189" s="82" t="s">
        <v>996</v>
      </c>
      <c r="BN189" s="82" t="b">
        <v>0</v>
      </c>
      <c r="BO189" s="89"/>
    </row>
    <row r="190" spans="1:67">
      <c r="A190" s="100">
        <v>110480</v>
      </c>
      <c r="B190" s="89" t="s">
        <v>233</v>
      </c>
      <c r="C190" s="89" t="s">
        <v>209</v>
      </c>
      <c r="D190" s="89" t="s">
        <v>1248</v>
      </c>
      <c r="E190" t="s">
        <v>2115</v>
      </c>
      <c r="F190" t="s">
        <v>1916</v>
      </c>
      <c r="G190" s="89" t="s">
        <v>762</v>
      </c>
      <c r="H190" s="89" t="s">
        <v>969</v>
      </c>
      <c r="I190" s="89" t="s">
        <v>996</v>
      </c>
      <c r="J190" s="89" t="s">
        <v>969</v>
      </c>
      <c r="K190" s="89"/>
      <c r="L190" s="104">
        <v>64</v>
      </c>
      <c r="M190" s="89" t="s">
        <v>353</v>
      </c>
      <c r="N190" s="89" t="s">
        <v>354</v>
      </c>
      <c r="O190" s="104">
        <v>64</v>
      </c>
      <c r="P190" s="89" t="s">
        <v>353</v>
      </c>
      <c r="Q190" s="89" t="s">
        <v>630</v>
      </c>
      <c r="R190" s="89" t="s">
        <v>564</v>
      </c>
      <c r="S190" s="89"/>
      <c r="T190" s="89"/>
      <c r="U190" s="93"/>
      <c r="V190" s="93"/>
      <c r="W190" s="93"/>
      <c r="X190" s="89"/>
      <c r="Y190" s="89"/>
      <c r="Z190" s="89"/>
      <c r="AA190" s="89"/>
      <c r="AB190" s="93"/>
      <c r="AC190" s="93"/>
      <c r="AD190" s="89"/>
      <c r="AE190" s="89"/>
      <c r="AF190" s="89">
        <v>20</v>
      </c>
      <c r="AG190" s="89">
        <v>6</v>
      </c>
      <c r="AH190" s="89">
        <v>0</v>
      </c>
      <c r="AI190" s="89">
        <v>25</v>
      </c>
      <c r="AJ190" s="89">
        <v>0</v>
      </c>
      <c r="AK190" s="89">
        <v>0</v>
      </c>
      <c r="AL190" s="89">
        <v>2</v>
      </c>
      <c r="AM190" s="89">
        <v>0.3</v>
      </c>
      <c r="AN190" s="89">
        <v>210</v>
      </c>
      <c r="AO190" s="89">
        <v>1</v>
      </c>
      <c r="AP190" s="89">
        <v>45</v>
      </c>
      <c r="AQ190" s="89">
        <v>3</v>
      </c>
      <c r="AR190" s="89">
        <v>0</v>
      </c>
      <c r="AS190" s="89">
        <v>0</v>
      </c>
      <c r="AT190" s="89">
        <v>0</v>
      </c>
      <c r="AU190" s="89"/>
      <c r="AV190" s="104" t="s">
        <v>992</v>
      </c>
      <c r="AW190" s="89" t="s">
        <v>372</v>
      </c>
      <c r="AX190" s="106" t="s">
        <v>373</v>
      </c>
      <c r="AY190" s="89" t="s">
        <v>359</v>
      </c>
      <c r="AZ190" s="89" t="s">
        <v>359</v>
      </c>
      <c r="BA190" s="89" t="s">
        <v>359</v>
      </c>
      <c r="BB190" s="89" t="s">
        <v>359</v>
      </c>
      <c r="BC190" s="89" t="s">
        <v>359</v>
      </c>
      <c r="BD190" s="89" t="s">
        <v>359</v>
      </c>
      <c r="BE190" s="89" t="s">
        <v>359</v>
      </c>
      <c r="BF190" s="89" t="s">
        <v>359</v>
      </c>
      <c r="BG190" s="89" t="s">
        <v>359</v>
      </c>
      <c r="BH190" s="89" t="s">
        <v>766</v>
      </c>
      <c r="BI190" s="89"/>
      <c r="BJ190" s="89"/>
      <c r="BK190" t="s">
        <v>2105</v>
      </c>
      <c r="BL190" t="s">
        <v>2126</v>
      </c>
      <c r="BM190" s="89" t="s">
        <v>996</v>
      </c>
      <c r="BN190" s="89" t="b">
        <v>0</v>
      </c>
      <c r="BO190" s="94"/>
    </row>
    <row r="191" spans="1:67">
      <c r="A191">
        <v>110480</v>
      </c>
      <c r="B191" t="s">
        <v>233</v>
      </c>
      <c r="C191" t="s">
        <v>209</v>
      </c>
      <c r="D191" t="s">
        <v>2325</v>
      </c>
      <c r="E191" t="s">
        <v>2124</v>
      </c>
      <c r="F191" t="s">
        <v>762</v>
      </c>
      <c r="G191" t="s">
        <v>762</v>
      </c>
      <c r="H191" t="s">
        <v>969</v>
      </c>
      <c r="I191" t="s">
        <v>996</v>
      </c>
      <c r="J191" t="s">
        <v>969</v>
      </c>
      <c r="L191">
        <v>64</v>
      </c>
      <c r="M191" t="s">
        <v>353</v>
      </c>
      <c r="N191" t="s">
        <v>354</v>
      </c>
      <c r="O191">
        <v>64</v>
      </c>
      <c r="P191" t="s">
        <v>353</v>
      </c>
      <c r="Q191" t="s">
        <v>758</v>
      </c>
      <c r="R191" t="s">
        <v>564</v>
      </c>
      <c r="U191"/>
      <c r="V191"/>
      <c r="W191"/>
      <c r="AB191"/>
      <c r="AC191"/>
      <c r="AF191">
        <v>20</v>
      </c>
      <c r="AG191">
        <v>5</v>
      </c>
      <c r="AH191">
        <v>0</v>
      </c>
      <c r="AI191">
        <v>25</v>
      </c>
      <c r="AJ191">
        <v>0</v>
      </c>
      <c r="AK191">
        <v>0</v>
      </c>
      <c r="AL191">
        <v>2</v>
      </c>
      <c r="AM191">
        <v>0.3</v>
      </c>
      <c r="AN191">
        <v>150</v>
      </c>
      <c r="AO191">
        <v>0</v>
      </c>
      <c r="AP191">
        <v>45</v>
      </c>
      <c r="AQ191">
        <v>3</v>
      </c>
      <c r="AR191">
        <v>0</v>
      </c>
      <c r="AS191">
        <v>0</v>
      </c>
      <c r="AT191">
        <v>0</v>
      </c>
      <c r="AV191">
        <v>212</v>
      </c>
      <c r="AW191" t="s">
        <v>372</v>
      </c>
      <c r="AX191" t="b">
        <v>1</v>
      </c>
      <c r="AY191" t="s">
        <v>359</v>
      </c>
      <c r="AZ191" t="s">
        <v>359</v>
      </c>
      <c r="BA191" t="s">
        <v>359</v>
      </c>
      <c r="BB191" t="s">
        <v>359</v>
      </c>
      <c r="BC191" t="s">
        <v>359</v>
      </c>
      <c r="BD191" t="s">
        <v>359</v>
      </c>
      <c r="BE191" t="s">
        <v>359</v>
      </c>
      <c r="BF191" t="s">
        <v>359</v>
      </c>
      <c r="BG191" t="s">
        <v>359</v>
      </c>
      <c r="BH191" t="s">
        <v>2296</v>
      </c>
      <c r="BK191" t="s">
        <v>2297</v>
      </c>
      <c r="BL191" t="s">
        <v>2298</v>
      </c>
      <c r="BM191" t="s">
        <v>996</v>
      </c>
      <c r="BN191" t="b">
        <v>0</v>
      </c>
      <c r="BO191" s="86"/>
    </row>
    <row r="192" spans="1:67">
      <c r="A192">
        <v>110480</v>
      </c>
      <c r="B192" t="s">
        <v>233</v>
      </c>
      <c r="C192" t="s">
        <v>209</v>
      </c>
      <c r="D192" t="s">
        <v>2326</v>
      </c>
      <c r="E192" t="s">
        <v>2327</v>
      </c>
      <c r="F192" t="s">
        <v>762</v>
      </c>
      <c r="G192" t="s">
        <v>762</v>
      </c>
      <c r="H192" t="s">
        <v>969</v>
      </c>
      <c r="I192" t="s">
        <v>996</v>
      </c>
      <c r="J192" t="s">
        <v>969</v>
      </c>
      <c r="L192">
        <v>64</v>
      </c>
      <c r="M192" t="s">
        <v>353</v>
      </c>
      <c r="N192" t="s">
        <v>354</v>
      </c>
      <c r="O192">
        <v>64</v>
      </c>
      <c r="P192" t="s">
        <v>353</v>
      </c>
      <c r="Q192" t="s">
        <v>758</v>
      </c>
      <c r="R192" t="s">
        <v>564</v>
      </c>
      <c r="U192"/>
      <c r="V192"/>
      <c r="W192"/>
      <c r="AB192"/>
      <c r="AC192"/>
      <c r="AF192">
        <v>20</v>
      </c>
      <c r="AG192">
        <v>5</v>
      </c>
      <c r="AH192">
        <v>0</v>
      </c>
      <c r="AI192">
        <v>25</v>
      </c>
      <c r="AJ192">
        <v>0</v>
      </c>
      <c r="AK192">
        <v>0</v>
      </c>
      <c r="AL192">
        <v>2</v>
      </c>
      <c r="AM192">
        <v>0.3</v>
      </c>
      <c r="AN192">
        <v>150</v>
      </c>
      <c r="AO192">
        <v>0</v>
      </c>
      <c r="AP192">
        <v>45</v>
      </c>
      <c r="AQ192">
        <v>3</v>
      </c>
      <c r="AR192">
        <v>0</v>
      </c>
      <c r="AS192">
        <v>0</v>
      </c>
      <c r="AT192">
        <v>0</v>
      </c>
      <c r="AV192">
        <v>212</v>
      </c>
      <c r="AW192" t="s">
        <v>372</v>
      </c>
      <c r="AX192" t="b">
        <v>1</v>
      </c>
      <c r="AY192" t="s">
        <v>359</v>
      </c>
      <c r="AZ192" t="s">
        <v>359</v>
      </c>
      <c r="BA192" t="s">
        <v>359</v>
      </c>
      <c r="BB192" t="s">
        <v>359</v>
      </c>
      <c r="BC192" t="s">
        <v>359</v>
      </c>
      <c r="BD192" t="s">
        <v>359</v>
      </c>
      <c r="BE192" t="s">
        <v>359</v>
      </c>
      <c r="BF192" t="s">
        <v>359</v>
      </c>
      <c r="BG192" t="s">
        <v>359</v>
      </c>
      <c r="BH192" t="s">
        <v>2296</v>
      </c>
      <c r="BK192" t="s">
        <v>2297</v>
      </c>
      <c r="BL192" t="s">
        <v>2298</v>
      </c>
      <c r="BM192" t="s">
        <v>996</v>
      </c>
      <c r="BN192" t="b">
        <v>0</v>
      </c>
      <c r="BO192" s="86"/>
    </row>
    <row r="193" spans="1:67">
      <c r="A193">
        <v>110480</v>
      </c>
      <c r="B193" t="s">
        <v>233</v>
      </c>
      <c r="C193" t="s">
        <v>209</v>
      </c>
      <c r="D193" t="s">
        <v>2328</v>
      </c>
      <c r="E193" t="s">
        <v>2300</v>
      </c>
      <c r="F193" t="s">
        <v>762</v>
      </c>
      <c r="G193" t="s">
        <v>762</v>
      </c>
      <c r="H193" t="s">
        <v>969</v>
      </c>
      <c r="I193" t="s">
        <v>996</v>
      </c>
      <c r="J193" t="s">
        <v>969</v>
      </c>
      <c r="L193">
        <v>64</v>
      </c>
      <c r="M193" t="s">
        <v>353</v>
      </c>
      <c r="N193" t="s">
        <v>354</v>
      </c>
      <c r="O193">
        <v>64</v>
      </c>
      <c r="P193" t="s">
        <v>353</v>
      </c>
      <c r="Q193" t="s">
        <v>758</v>
      </c>
      <c r="R193" t="s">
        <v>564</v>
      </c>
      <c r="U193"/>
      <c r="V193"/>
      <c r="W193"/>
      <c r="AB193"/>
      <c r="AC193"/>
      <c r="AF193">
        <v>20</v>
      </c>
      <c r="AG193">
        <v>5</v>
      </c>
      <c r="AH193">
        <v>0</v>
      </c>
      <c r="AI193">
        <v>25</v>
      </c>
      <c r="AJ193">
        <v>0</v>
      </c>
      <c r="AK193">
        <v>0</v>
      </c>
      <c r="AL193">
        <v>2</v>
      </c>
      <c r="AM193">
        <v>0.3</v>
      </c>
      <c r="AN193">
        <v>150</v>
      </c>
      <c r="AO193">
        <v>0</v>
      </c>
      <c r="AP193">
        <v>45</v>
      </c>
      <c r="AQ193">
        <v>3</v>
      </c>
      <c r="AR193">
        <v>0</v>
      </c>
      <c r="AS193">
        <v>0</v>
      </c>
      <c r="AT193">
        <v>0</v>
      </c>
      <c r="AV193">
        <v>212</v>
      </c>
      <c r="AW193" t="s">
        <v>372</v>
      </c>
      <c r="AX193" t="b">
        <v>1</v>
      </c>
      <c r="AY193" t="s">
        <v>359</v>
      </c>
      <c r="AZ193" t="s">
        <v>359</v>
      </c>
      <c r="BA193" t="s">
        <v>359</v>
      </c>
      <c r="BB193" t="s">
        <v>359</v>
      </c>
      <c r="BC193" t="s">
        <v>359</v>
      </c>
      <c r="BD193" t="s">
        <v>359</v>
      </c>
      <c r="BE193" t="s">
        <v>359</v>
      </c>
      <c r="BF193" t="s">
        <v>359</v>
      </c>
      <c r="BG193" t="s">
        <v>359</v>
      </c>
      <c r="BH193" t="s">
        <v>2309</v>
      </c>
      <c r="BK193" t="s">
        <v>2297</v>
      </c>
      <c r="BL193" t="s">
        <v>2298</v>
      </c>
      <c r="BM193" t="s">
        <v>996</v>
      </c>
      <c r="BN193" t="b">
        <v>0</v>
      </c>
      <c r="BO193" s="94"/>
    </row>
    <row r="194" spans="1:67">
      <c r="A194">
        <v>110480</v>
      </c>
      <c r="B194" t="s">
        <v>233</v>
      </c>
      <c r="C194" t="s">
        <v>209</v>
      </c>
      <c r="D194" t="s">
        <v>2329</v>
      </c>
      <c r="E194" t="s">
        <v>2303</v>
      </c>
      <c r="F194" t="s">
        <v>762</v>
      </c>
      <c r="G194" t="s">
        <v>762</v>
      </c>
      <c r="H194" t="s">
        <v>969</v>
      </c>
      <c r="I194" t="s">
        <v>996</v>
      </c>
      <c r="J194" t="s">
        <v>969</v>
      </c>
      <c r="L194">
        <v>64</v>
      </c>
      <c r="M194" t="s">
        <v>353</v>
      </c>
      <c r="N194" t="s">
        <v>354</v>
      </c>
      <c r="O194">
        <v>64</v>
      </c>
      <c r="P194" t="s">
        <v>353</v>
      </c>
      <c r="Q194" t="s">
        <v>758</v>
      </c>
      <c r="R194" t="s">
        <v>564</v>
      </c>
      <c r="U194"/>
      <c r="V194"/>
      <c r="W194"/>
      <c r="AB194"/>
      <c r="AC194"/>
      <c r="AF194">
        <v>20</v>
      </c>
      <c r="AG194">
        <v>5</v>
      </c>
      <c r="AH194">
        <v>0</v>
      </c>
      <c r="AI194">
        <v>25</v>
      </c>
      <c r="AJ194">
        <v>0</v>
      </c>
      <c r="AK194">
        <v>0</v>
      </c>
      <c r="AL194">
        <v>2</v>
      </c>
      <c r="AM194">
        <v>0.3</v>
      </c>
      <c r="AN194">
        <v>150</v>
      </c>
      <c r="AO194">
        <v>0</v>
      </c>
      <c r="AP194">
        <v>45</v>
      </c>
      <c r="AQ194">
        <v>3</v>
      </c>
      <c r="AR194">
        <v>0</v>
      </c>
      <c r="AS194">
        <v>0</v>
      </c>
      <c r="AT194">
        <v>0</v>
      </c>
      <c r="AV194">
        <v>212</v>
      </c>
      <c r="AW194" t="s">
        <v>372</v>
      </c>
      <c r="AX194" t="b">
        <v>1</v>
      </c>
      <c r="AY194" t="s">
        <v>359</v>
      </c>
      <c r="AZ194" t="s">
        <v>359</v>
      </c>
      <c r="BA194" t="s">
        <v>359</v>
      </c>
      <c r="BB194" t="s">
        <v>359</v>
      </c>
      <c r="BC194" t="s">
        <v>359</v>
      </c>
      <c r="BD194" t="s">
        <v>359</v>
      </c>
      <c r="BE194" t="s">
        <v>359</v>
      </c>
      <c r="BF194" t="s">
        <v>359</v>
      </c>
      <c r="BG194" t="s">
        <v>359</v>
      </c>
      <c r="BH194" t="s">
        <v>2301</v>
      </c>
      <c r="BK194" t="s">
        <v>2297</v>
      </c>
      <c r="BL194" t="s">
        <v>2298</v>
      </c>
      <c r="BM194" t="s">
        <v>996</v>
      </c>
      <c r="BN194" t="b">
        <v>0</v>
      </c>
      <c r="BO194" s="94"/>
    </row>
    <row r="195" spans="1:67">
      <c r="A195" s="73">
        <v>110501</v>
      </c>
      <c r="B195" s="83" t="s">
        <v>152</v>
      </c>
      <c r="C195" s="83" t="s">
        <v>137</v>
      </c>
      <c r="D195" s="82" t="s">
        <v>1822</v>
      </c>
      <c r="E195" s="82" t="s">
        <v>1823</v>
      </c>
      <c r="F195" s="82" t="s">
        <v>1810</v>
      </c>
      <c r="G195" s="82" t="s">
        <v>1810</v>
      </c>
      <c r="H195" s="82" t="s">
        <v>1824</v>
      </c>
      <c r="I195" s="82" t="s">
        <v>1824</v>
      </c>
      <c r="J195" s="82" t="s">
        <v>1812</v>
      </c>
      <c r="K195" s="82"/>
      <c r="L195" s="73">
        <v>56</v>
      </c>
      <c r="M195" s="82" t="s">
        <v>353</v>
      </c>
      <c r="N195" s="82" t="s">
        <v>354</v>
      </c>
      <c r="O195" s="73">
        <v>56</v>
      </c>
      <c r="P195" s="82" t="s">
        <v>353</v>
      </c>
      <c r="Q195" s="82" t="s">
        <v>501</v>
      </c>
      <c r="R195" s="82" t="s">
        <v>474</v>
      </c>
      <c r="S195" s="82"/>
      <c r="T195" s="82"/>
      <c r="U195" s="82"/>
      <c r="V195" s="82"/>
      <c r="W195" s="82"/>
      <c r="X195" s="82"/>
      <c r="Y195" s="82"/>
      <c r="Z195" s="82"/>
      <c r="AA195" s="82"/>
      <c r="AB195" s="82"/>
      <c r="AC195" s="82"/>
      <c r="AD195" s="82"/>
      <c r="AE195" s="82"/>
      <c r="AF195" s="82">
        <v>0</v>
      </c>
      <c r="AG195" s="82">
        <v>41</v>
      </c>
      <c r="AH195" s="82">
        <v>0</v>
      </c>
      <c r="AI195" s="82">
        <v>210</v>
      </c>
      <c r="AJ195" s="82">
        <v>0</v>
      </c>
      <c r="AK195" s="82">
        <v>0</v>
      </c>
      <c r="AL195" s="82">
        <v>3</v>
      </c>
      <c r="AM195" s="82">
        <v>10</v>
      </c>
      <c r="AN195" s="82"/>
      <c r="AO195" s="82">
        <v>8</v>
      </c>
      <c r="AP195" s="82">
        <v>0</v>
      </c>
      <c r="AQ195" s="82">
        <v>2</v>
      </c>
      <c r="AR195" s="82"/>
      <c r="AS195" s="82">
        <v>1</v>
      </c>
      <c r="AT195" s="82">
        <v>0</v>
      </c>
      <c r="AU195" s="82"/>
      <c r="AV195" s="82">
        <v>160</v>
      </c>
      <c r="AW195" s="82" t="s">
        <v>358</v>
      </c>
      <c r="AX195" s="82"/>
      <c r="AY195" s="82" t="s">
        <v>1103</v>
      </c>
      <c r="AZ195" s="82" t="s">
        <v>359</v>
      </c>
      <c r="BA195" s="82" t="s">
        <v>359</v>
      </c>
      <c r="BB195" s="82" t="s">
        <v>359</v>
      </c>
      <c r="BC195" s="82" t="s">
        <v>359</v>
      </c>
      <c r="BD195" s="82" t="s">
        <v>359</v>
      </c>
      <c r="BE195" s="82" t="s">
        <v>359</v>
      </c>
      <c r="BF195" s="82" t="s">
        <v>359</v>
      </c>
      <c r="BG195" s="82" t="s">
        <v>360</v>
      </c>
      <c r="BH195" s="82" t="s">
        <v>1813</v>
      </c>
      <c r="BI195" s="82"/>
      <c r="BJ195" s="82"/>
      <c r="BK195" s="82" t="s">
        <v>1909</v>
      </c>
      <c r="BL195" s="82" t="s">
        <v>1924</v>
      </c>
      <c r="BM195" s="82" t="s">
        <v>1825</v>
      </c>
      <c r="BN195" s="82" t="b">
        <v>0</v>
      </c>
      <c r="BO195" s="86"/>
    </row>
    <row r="196" spans="1:67">
      <c r="A196" s="73">
        <v>110501</v>
      </c>
      <c r="B196" s="83" t="s">
        <v>152</v>
      </c>
      <c r="C196" s="83" t="s">
        <v>137</v>
      </c>
      <c r="D196" s="82" t="s">
        <v>1826</v>
      </c>
      <c r="E196" s="82" t="s">
        <v>1827</v>
      </c>
      <c r="F196" s="82" t="s">
        <v>1810</v>
      </c>
      <c r="G196" s="82" t="s">
        <v>1810</v>
      </c>
      <c r="H196" s="82" t="s">
        <v>1828</v>
      </c>
      <c r="I196" s="82" t="s">
        <v>1829</v>
      </c>
      <c r="J196" s="82" t="s">
        <v>1123</v>
      </c>
      <c r="K196" s="82"/>
      <c r="L196" s="73">
        <v>56</v>
      </c>
      <c r="M196" s="82" t="s">
        <v>353</v>
      </c>
      <c r="N196" s="82" t="s">
        <v>354</v>
      </c>
      <c r="O196" s="73">
        <v>56</v>
      </c>
      <c r="P196" s="82" t="s">
        <v>353</v>
      </c>
      <c r="Q196" s="82" t="s">
        <v>501</v>
      </c>
      <c r="R196" s="82" t="s">
        <v>474</v>
      </c>
      <c r="S196" s="82"/>
      <c r="T196" s="82"/>
      <c r="U196" s="82"/>
      <c r="V196" s="82"/>
      <c r="W196" s="82"/>
      <c r="X196" s="82"/>
      <c r="Y196" s="82"/>
      <c r="Z196" s="82"/>
      <c r="AA196" s="82"/>
      <c r="AB196" s="82"/>
      <c r="AC196" s="82"/>
      <c r="AD196" s="82"/>
      <c r="AE196" s="82"/>
      <c r="AF196" s="82">
        <v>0</v>
      </c>
      <c r="AG196" s="82">
        <v>41</v>
      </c>
      <c r="AH196" s="82">
        <v>0</v>
      </c>
      <c r="AI196" s="82">
        <v>210</v>
      </c>
      <c r="AJ196" s="82">
        <v>0</v>
      </c>
      <c r="AK196" s="82">
        <v>0</v>
      </c>
      <c r="AL196" s="82">
        <v>3</v>
      </c>
      <c r="AM196" s="82">
        <v>10</v>
      </c>
      <c r="AN196" s="82">
        <v>348</v>
      </c>
      <c r="AO196" s="82">
        <v>8</v>
      </c>
      <c r="AP196" s="82">
        <v>0</v>
      </c>
      <c r="AQ196" s="82">
        <v>2</v>
      </c>
      <c r="AR196" s="82">
        <v>0</v>
      </c>
      <c r="AS196" s="82">
        <v>1</v>
      </c>
      <c r="AT196" s="82">
        <v>0</v>
      </c>
      <c r="AU196" s="82"/>
      <c r="AV196" s="82">
        <v>160</v>
      </c>
      <c r="AW196" s="82" t="s">
        <v>358</v>
      </c>
      <c r="AX196" s="82"/>
      <c r="AY196" s="82" t="s">
        <v>1103</v>
      </c>
      <c r="AZ196" s="82" t="s">
        <v>359</v>
      </c>
      <c r="BA196" s="82" t="s">
        <v>359</v>
      </c>
      <c r="BB196" s="82" t="s">
        <v>359</v>
      </c>
      <c r="BC196" s="82" t="s">
        <v>359</v>
      </c>
      <c r="BD196" s="82" t="s">
        <v>359</v>
      </c>
      <c r="BE196" s="82" t="s">
        <v>359</v>
      </c>
      <c r="BF196" s="82" t="s">
        <v>359</v>
      </c>
      <c r="BG196" s="82" t="s">
        <v>360</v>
      </c>
      <c r="BH196" s="82" t="s">
        <v>1820</v>
      </c>
      <c r="BI196" s="82"/>
      <c r="BJ196" s="82"/>
      <c r="BK196" s="74">
        <v>45383.433530092603</v>
      </c>
      <c r="BL196" s="74">
        <v>45379.425000000003</v>
      </c>
      <c r="BM196" s="82" t="s">
        <v>1821</v>
      </c>
      <c r="BN196" s="82" t="b">
        <v>0</v>
      </c>
      <c r="BO196" s="86"/>
    </row>
    <row r="197" spans="1:67">
      <c r="A197" s="100">
        <v>110501</v>
      </c>
      <c r="B197" s="89" t="s">
        <v>152</v>
      </c>
      <c r="C197" s="89" t="s">
        <v>137</v>
      </c>
      <c r="D197" s="89" t="s">
        <v>1249</v>
      </c>
      <c r="E197" s="89" t="s">
        <v>1250</v>
      </c>
      <c r="F197" s="89" t="s">
        <v>1120</v>
      </c>
      <c r="G197" s="89" t="s">
        <v>1120</v>
      </c>
      <c r="H197" s="89" t="s">
        <v>1251</v>
      </c>
      <c r="I197" s="89" t="s">
        <v>1251</v>
      </c>
      <c r="J197" s="89" t="s">
        <v>1123</v>
      </c>
      <c r="K197" s="89" t="s">
        <v>370</v>
      </c>
      <c r="L197" s="89">
        <v>56</v>
      </c>
      <c r="M197" s="89" t="s">
        <v>353</v>
      </c>
      <c r="N197" s="89" t="s">
        <v>354</v>
      </c>
      <c r="O197" s="89">
        <v>56</v>
      </c>
      <c r="P197" s="89" t="s">
        <v>353</v>
      </c>
      <c r="Q197" s="89" t="s">
        <v>1124</v>
      </c>
      <c r="R197" s="89" t="s">
        <v>474</v>
      </c>
      <c r="S197" s="89"/>
      <c r="T197" s="89"/>
      <c r="U197" s="93"/>
      <c r="V197" s="93"/>
      <c r="W197" s="93"/>
      <c r="X197" s="89"/>
      <c r="Y197" s="89"/>
      <c r="Z197" s="89"/>
      <c r="AA197" s="89"/>
      <c r="AB197" s="93"/>
      <c r="AC197" s="93"/>
      <c r="AD197" s="89"/>
      <c r="AE197" s="89"/>
      <c r="AF197" s="89">
        <v>0</v>
      </c>
      <c r="AG197" s="89">
        <v>41</v>
      </c>
      <c r="AH197" s="89">
        <v>0</v>
      </c>
      <c r="AI197" s="89">
        <v>200</v>
      </c>
      <c r="AJ197" s="89">
        <v>0</v>
      </c>
      <c r="AK197" s="89">
        <v>0</v>
      </c>
      <c r="AL197" s="89">
        <v>5</v>
      </c>
      <c r="AM197" s="89">
        <v>2</v>
      </c>
      <c r="AN197" s="89">
        <v>260</v>
      </c>
      <c r="AO197" s="89">
        <v>7</v>
      </c>
      <c r="AP197" s="89">
        <v>0</v>
      </c>
      <c r="AQ197" s="89">
        <v>2</v>
      </c>
      <c r="AR197" s="89">
        <v>0</v>
      </c>
      <c r="AS197" s="89">
        <v>1.5</v>
      </c>
      <c r="AT197" s="89">
        <v>0</v>
      </c>
      <c r="AU197" s="89" t="s">
        <v>357</v>
      </c>
      <c r="AV197" s="89">
        <v>160</v>
      </c>
      <c r="AW197" s="89" t="s">
        <v>372</v>
      </c>
      <c r="AX197" s="89"/>
      <c r="AY197" s="89" t="s">
        <v>1103</v>
      </c>
      <c r="AZ197" s="89" t="s">
        <v>359</v>
      </c>
      <c r="BA197" s="89" t="s">
        <v>359</v>
      </c>
      <c r="BB197" s="89" t="s">
        <v>359</v>
      </c>
      <c r="BC197" s="89" t="s">
        <v>359</v>
      </c>
      <c r="BD197" s="89" t="s">
        <v>359</v>
      </c>
      <c r="BE197" s="89" t="s">
        <v>359</v>
      </c>
      <c r="BF197" s="89" t="s">
        <v>359</v>
      </c>
      <c r="BG197" s="89" t="s">
        <v>360</v>
      </c>
      <c r="BH197" s="89" t="s">
        <v>843</v>
      </c>
      <c r="BI197" s="89" t="s">
        <v>1125</v>
      </c>
      <c r="BJ197" s="89"/>
      <c r="BK197" s="74">
        <v>45261.36278935185</v>
      </c>
      <c r="BL197" s="74">
        <v>45029.301620370366</v>
      </c>
      <c r="BM197" s="89" t="s">
        <v>1252</v>
      </c>
      <c r="BN197" s="89" t="b">
        <v>0</v>
      </c>
      <c r="BO197" s="94"/>
    </row>
    <row r="198" spans="1:67">
      <c r="A198" s="73">
        <v>110504</v>
      </c>
      <c r="B198" s="82" t="s">
        <v>154</v>
      </c>
      <c r="C198" s="82" t="s">
        <v>137</v>
      </c>
      <c r="D198" s="82" t="s">
        <v>1818</v>
      </c>
      <c r="E198" s="82" t="s">
        <v>1808</v>
      </c>
      <c r="F198" s="82" t="s">
        <v>1810</v>
      </c>
      <c r="G198" s="82" t="s">
        <v>1810</v>
      </c>
      <c r="H198" s="82" t="s">
        <v>1819</v>
      </c>
      <c r="I198" s="82" t="s">
        <v>1819</v>
      </c>
      <c r="J198" s="82" t="s">
        <v>1123</v>
      </c>
      <c r="K198" s="82"/>
      <c r="L198" s="73">
        <v>56</v>
      </c>
      <c r="M198" s="82" t="s">
        <v>353</v>
      </c>
      <c r="N198" s="82" t="s">
        <v>354</v>
      </c>
      <c r="O198" s="73">
        <v>55</v>
      </c>
      <c r="P198" s="82" t="s">
        <v>353</v>
      </c>
      <c r="Q198" s="82" t="s">
        <v>501</v>
      </c>
      <c r="R198" s="82" t="s">
        <v>474</v>
      </c>
      <c r="S198" s="82"/>
      <c r="T198" s="82"/>
      <c r="U198" s="82"/>
      <c r="V198" s="82"/>
      <c r="W198" s="82"/>
      <c r="X198" s="82"/>
      <c r="Y198" s="82"/>
      <c r="Z198" s="82"/>
      <c r="AA198" s="82"/>
      <c r="AB198" s="82"/>
      <c r="AC198" s="82"/>
      <c r="AD198" s="82"/>
      <c r="AE198" s="82"/>
      <c r="AF198" s="82">
        <v>0</v>
      </c>
      <c r="AG198" s="82">
        <v>40</v>
      </c>
      <c r="AH198" s="82">
        <v>0</v>
      </c>
      <c r="AI198" s="82">
        <v>200</v>
      </c>
      <c r="AJ198" s="82">
        <v>0</v>
      </c>
      <c r="AK198" s="82">
        <v>0</v>
      </c>
      <c r="AL198" s="82">
        <v>3</v>
      </c>
      <c r="AM198" s="82">
        <v>10</v>
      </c>
      <c r="AN198" s="82"/>
      <c r="AO198" s="82">
        <v>7</v>
      </c>
      <c r="AP198" s="82">
        <v>0</v>
      </c>
      <c r="AQ198" s="82">
        <v>2</v>
      </c>
      <c r="AR198" s="82"/>
      <c r="AS198" s="82">
        <v>1</v>
      </c>
      <c r="AT198" s="82">
        <v>0</v>
      </c>
      <c r="AU198" s="82"/>
      <c r="AV198" s="82">
        <v>160</v>
      </c>
      <c r="AW198" s="82" t="s">
        <v>358</v>
      </c>
      <c r="AX198" s="82"/>
      <c r="AY198" s="82" t="s">
        <v>359</v>
      </c>
      <c r="AZ198" s="82" t="s">
        <v>359</v>
      </c>
      <c r="BA198" s="82" t="s">
        <v>359</v>
      </c>
      <c r="BB198" s="82" t="s">
        <v>359</v>
      </c>
      <c r="BC198" s="82" t="s">
        <v>359</v>
      </c>
      <c r="BD198" s="82" t="s">
        <v>359</v>
      </c>
      <c r="BE198" s="82" t="s">
        <v>359</v>
      </c>
      <c r="BF198" s="82" t="s">
        <v>359</v>
      </c>
      <c r="BG198" s="82" t="s">
        <v>360</v>
      </c>
      <c r="BH198" s="82" t="s">
        <v>1820</v>
      </c>
      <c r="BI198" s="82"/>
      <c r="BJ198" s="82"/>
      <c r="BK198" s="82" t="s">
        <v>1909</v>
      </c>
      <c r="BL198" s="82" t="s">
        <v>1924</v>
      </c>
      <c r="BM198" s="82" t="s">
        <v>1821</v>
      </c>
      <c r="BN198" s="82" t="b">
        <v>0</v>
      </c>
      <c r="BO198" s="89"/>
    </row>
    <row r="199" spans="1:67">
      <c r="A199" s="73">
        <v>110504</v>
      </c>
      <c r="B199" s="82" t="s">
        <v>154</v>
      </c>
      <c r="C199" s="82" t="s">
        <v>137</v>
      </c>
      <c r="D199" s="89" t="s">
        <v>1253</v>
      </c>
      <c r="E199" s="89" t="s">
        <v>1250</v>
      </c>
      <c r="F199" s="89" t="s">
        <v>1120</v>
      </c>
      <c r="G199" s="89" t="s">
        <v>1120</v>
      </c>
      <c r="H199" s="89" t="s">
        <v>1254</v>
      </c>
      <c r="I199" s="89" t="s">
        <v>1254</v>
      </c>
      <c r="J199" s="89" t="s">
        <v>1123</v>
      </c>
      <c r="K199" s="89" t="s">
        <v>370</v>
      </c>
      <c r="L199" s="89">
        <v>56</v>
      </c>
      <c r="M199" s="89" t="s">
        <v>353</v>
      </c>
      <c r="N199" s="89" t="s">
        <v>354</v>
      </c>
      <c r="O199" s="89">
        <v>56</v>
      </c>
      <c r="P199" s="89" t="s">
        <v>353</v>
      </c>
      <c r="Q199" s="89" t="s">
        <v>1255</v>
      </c>
      <c r="R199" s="89" t="s">
        <v>474</v>
      </c>
      <c r="S199" s="89"/>
      <c r="T199" s="89"/>
      <c r="U199" s="93"/>
      <c r="V199" s="93"/>
      <c r="W199" s="93"/>
      <c r="X199" s="89"/>
      <c r="Y199" s="89"/>
      <c r="Z199" s="89"/>
      <c r="AA199" s="89"/>
      <c r="AB199" s="93"/>
      <c r="AC199" s="93"/>
      <c r="AD199" s="89"/>
      <c r="AE199" s="89"/>
      <c r="AF199" s="89">
        <v>0</v>
      </c>
      <c r="AG199" s="89">
        <v>41</v>
      </c>
      <c r="AH199" s="89">
        <v>0</v>
      </c>
      <c r="AI199" s="89">
        <v>200</v>
      </c>
      <c r="AJ199" s="89">
        <v>0</v>
      </c>
      <c r="AK199" s="89">
        <v>0</v>
      </c>
      <c r="AL199" s="89">
        <v>5</v>
      </c>
      <c r="AM199" s="89">
        <v>10</v>
      </c>
      <c r="AN199" s="89">
        <v>260</v>
      </c>
      <c r="AO199" s="89">
        <v>7</v>
      </c>
      <c r="AP199" s="89">
        <v>0</v>
      </c>
      <c r="AQ199" s="89">
        <v>2</v>
      </c>
      <c r="AR199" s="89">
        <v>0</v>
      </c>
      <c r="AS199" s="89">
        <v>1.5</v>
      </c>
      <c r="AT199" s="89">
        <v>0</v>
      </c>
      <c r="AU199" s="89" t="s">
        <v>357</v>
      </c>
      <c r="AV199" s="100">
        <v>160</v>
      </c>
      <c r="AW199" s="89" t="s">
        <v>358</v>
      </c>
      <c r="AX199" s="89"/>
      <c r="AY199" s="89" t="s">
        <v>1103</v>
      </c>
      <c r="AZ199" s="89" t="s">
        <v>359</v>
      </c>
      <c r="BA199" s="89" t="s">
        <v>359</v>
      </c>
      <c r="BB199" s="89" t="s">
        <v>359</v>
      </c>
      <c r="BC199" s="89" t="s">
        <v>359</v>
      </c>
      <c r="BD199" s="89" t="s">
        <v>359</v>
      </c>
      <c r="BE199" s="89" t="s">
        <v>359</v>
      </c>
      <c r="BF199" s="89" t="s">
        <v>359</v>
      </c>
      <c r="BG199" s="89" t="s">
        <v>360</v>
      </c>
      <c r="BH199" s="82" t="s">
        <v>1256</v>
      </c>
      <c r="BI199" s="89"/>
      <c r="BJ199" s="89"/>
      <c r="BK199" s="74">
        <v>45261.348981481482</v>
      </c>
      <c r="BL199" s="74">
        <v>45209.330046296287</v>
      </c>
      <c r="BM199" s="89" t="s">
        <v>1252</v>
      </c>
      <c r="BN199" s="89" t="b">
        <v>0</v>
      </c>
      <c r="BO199" s="89"/>
    </row>
    <row r="200" spans="1:67">
      <c r="A200" s="73">
        <v>110506</v>
      </c>
      <c r="B200" s="83" t="s">
        <v>155</v>
      </c>
      <c r="C200" s="83" t="s">
        <v>137</v>
      </c>
      <c r="D200" s="82" t="s">
        <v>1815</v>
      </c>
      <c r="E200" s="82" t="s">
        <v>1808</v>
      </c>
      <c r="F200" s="82" t="s">
        <v>1809</v>
      </c>
      <c r="G200" s="82" t="s">
        <v>1810</v>
      </c>
      <c r="H200" s="82" t="s">
        <v>1925</v>
      </c>
      <c r="I200" s="82" t="s">
        <v>1816</v>
      </c>
      <c r="J200" s="82" t="s">
        <v>1812</v>
      </c>
      <c r="K200" s="82"/>
      <c r="L200" s="73">
        <v>56</v>
      </c>
      <c r="M200" s="82" t="s">
        <v>353</v>
      </c>
      <c r="N200" s="82" t="s">
        <v>354</v>
      </c>
      <c r="O200" s="73">
        <v>56</v>
      </c>
      <c r="P200" s="82" t="s">
        <v>353</v>
      </c>
      <c r="Q200" s="82" t="s">
        <v>501</v>
      </c>
      <c r="R200" s="82" t="s">
        <v>474</v>
      </c>
      <c r="S200" s="82"/>
      <c r="T200" s="82"/>
      <c r="U200" s="82"/>
      <c r="V200" s="82"/>
      <c r="W200" s="82"/>
      <c r="X200" s="82"/>
      <c r="Y200" s="82"/>
      <c r="Z200" s="82"/>
      <c r="AA200" s="82"/>
      <c r="AB200" s="82"/>
      <c r="AC200" s="82"/>
      <c r="AD200" s="82"/>
      <c r="AE200" s="82"/>
      <c r="AF200" s="82">
        <v>0</v>
      </c>
      <c r="AG200" s="82">
        <v>41</v>
      </c>
      <c r="AH200" s="82">
        <v>0</v>
      </c>
      <c r="AI200" s="82">
        <v>210</v>
      </c>
      <c r="AJ200" s="82">
        <v>0</v>
      </c>
      <c r="AK200" s="82">
        <v>0</v>
      </c>
      <c r="AL200" s="82">
        <v>3</v>
      </c>
      <c r="AM200" s="82">
        <v>10</v>
      </c>
      <c r="AN200" s="82"/>
      <c r="AO200" s="82">
        <v>8</v>
      </c>
      <c r="AP200" s="82">
        <v>0</v>
      </c>
      <c r="AQ200" s="82">
        <v>2</v>
      </c>
      <c r="AR200" s="82"/>
      <c r="AS200" s="82">
        <v>1</v>
      </c>
      <c r="AT200" s="82">
        <v>0</v>
      </c>
      <c r="AU200" s="82"/>
      <c r="AV200" s="82">
        <v>160</v>
      </c>
      <c r="AW200" s="82" t="s">
        <v>358</v>
      </c>
      <c r="AX200" s="82"/>
      <c r="AY200" s="82" t="s">
        <v>1103</v>
      </c>
      <c r="AZ200" s="82" t="s">
        <v>359</v>
      </c>
      <c r="BA200" s="82" t="s">
        <v>359</v>
      </c>
      <c r="BB200" s="82" t="s">
        <v>359</v>
      </c>
      <c r="BC200" s="82" t="s">
        <v>359</v>
      </c>
      <c r="BD200" s="82" t="s">
        <v>359</v>
      </c>
      <c r="BE200" s="82" t="s">
        <v>359</v>
      </c>
      <c r="BF200" s="82" t="s">
        <v>359</v>
      </c>
      <c r="BG200" s="82" t="s">
        <v>360</v>
      </c>
      <c r="BH200" s="82" t="s">
        <v>1813</v>
      </c>
      <c r="BI200" s="82"/>
      <c r="BJ200" s="82"/>
      <c r="BK200" s="82" t="s">
        <v>1909</v>
      </c>
      <c r="BL200" s="82" t="s">
        <v>1924</v>
      </c>
      <c r="BM200" s="82" t="s">
        <v>1817</v>
      </c>
      <c r="BN200" s="82" t="b">
        <v>0</v>
      </c>
    </row>
    <row r="201" spans="1:67">
      <c r="A201" s="100">
        <v>110506</v>
      </c>
      <c r="B201" s="89" t="s">
        <v>155</v>
      </c>
      <c r="C201" s="89" t="s">
        <v>137</v>
      </c>
      <c r="D201" s="89" t="s">
        <v>1257</v>
      </c>
      <c r="E201" s="89" t="s">
        <v>1250</v>
      </c>
      <c r="F201" s="89" t="s">
        <v>1120</v>
      </c>
      <c r="G201" s="89" t="s">
        <v>1120</v>
      </c>
      <c r="H201" s="89" t="s">
        <v>1258</v>
      </c>
      <c r="I201" s="89" t="s">
        <v>1258</v>
      </c>
      <c r="J201" s="89" t="s">
        <v>1123</v>
      </c>
      <c r="K201" s="89" t="s">
        <v>370</v>
      </c>
      <c r="L201" s="89">
        <v>56</v>
      </c>
      <c r="M201" s="89" t="s">
        <v>353</v>
      </c>
      <c r="N201" s="89" t="s">
        <v>354</v>
      </c>
      <c r="O201" s="89">
        <v>56</v>
      </c>
      <c r="P201" s="89" t="s">
        <v>353</v>
      </c>
      <c r="Q201" s="89" t="s">
        <v>1124</v>
      </c>
      <c r="R201" s="89" t="s">
        <v>474</v>
      </c>
      <c r="S201" s="89"/>
      <c r="T201" s="89"/>
      <c r="U201" s="93"/>
      <c r="V201" s="93"/>
      <c r="W201" s="93"/>
      <c r="X201" s="89"/>
      <c r="Y201" s="89"/>
      <c r="Z201" s="89"/>
      <c r="AA201" s="89"/>
      <c r="AB201" s="93"/>
      <c r="AC201" s="93"/>
      <c r="AD201" s="89"/>
      <c r="AE201" s="89"/>
      <c r="AF201" s="89">
        <v>0</v>
      </c>
      <c r="AG201" s="89">
        <v>41</v>
      </c>
      <c r="AH201" s="89">
        <v>0</v>
      </c>
      <c r="AI201" s="89">
        <v>200</v>
      </c>
      <c r="AJ201" s="89">
        <v>0</v>
      </c>
      <c r="AK201" s="89">
        <v>0</v>
      </c>
      <c r="AL201" s="89">
        <v>5</v>
      </c>
      <c r="AM201" s="89">
        <v>2</v>
      </c>
      <c r="AN201" s="89">
        <v>260</v>
      </c>
      <c r="AO201" s="89">
        <v>7</v>
      </c>
      <c r="AP201" s="89">
        <v>0</v>
      </c>
      <c r="AQ201" s="89">
        <v>2</v>
      </c>
      <c r="AR201" s="89">
        <v>0</v>
      </c>
      <c r="AS201" s="89">
        <v>1.5</v>
      </c>
      <c r="AT201" s="89">
        <v>0</v>
      </c>
      <c r="AU201" s="89" t="s">
        <v>357</v>
      </c>
      <c r="AV201" s="89">
        <v>160</v>
      </c>
      <c r="AW201" s="89" t="s">
        <v>372</v>
      </c>
      <c r="AX201" s="89"/>
      <c r="AY201" s="89" t="s">
        <v>1103</v>
      </c>
      <c r="AZ201" s="89" t="s">
        <v>359</v>
      </c>
      <c r="BA201" s="89" t="s">
        <v>359</v>
      </c>
      <c r="BB201" s="89" t="s">
        <v>359</v>
      </c>
      <c r="BC201" s="89" t="s">
        <v>359</v>
      </c>
      <c r="BD201" s="89" t="s">
        <v>359</v>
      </c>
      <c r="BE201" s="89" t="s">
        <v>359</v>
      </c>
      <c r="BF201" s="89" t="s">
        <v>359</v>
      </c>
      <c r="BG201" s="89" t="s">
        <v>360</v>
      </c>
      <c r="BH201" s="89" t="s">
        <v>843</v>
      </c>
      <c r="BI201" s="89" t="s">
        <v>1125</v>
      </c>
      <c r="BJ201" s="89"/>
      <c r="BK201" s="74">
        <v>45261.373437499999</v>
      </c>
      <c r="BL201" s="74">
        <v>45029.312280092592</v>
      </c>
      <c r="BM201" s="89" t="s">
        <v>1252</v>
      </c>
      <c r="BN201" s="89" t="b">
        <v>0</v>
      </c>
    </row>
    <row r="202" spans="1:67">
      <c r="A202" s="82">
        <v>110520</v>
      </c>
      <c r="B202" s="82" t="s">
        <v>156</v>
      </c>
      <c r="C202" s="83" t="s">
        <v>137</v>
      </c>
      <c r="D202" s="82" t="s">
        <v>1926</v>
      </c>
      <c r="E202" s="82" t="s">
        <v>1823</v>
      </c>
      <c r="F202" s="82" t="s">
        <v>1810</v>
      </c>
      <c r="G202" s="82" t="s">
        <v>1810</v>
      </c>
      <c r="H202" s="82" t="s">
        <v>1927</v>
      </c>
      <c r="I202" s="82" t="s">
        <v>1928</v>
      </c>
      <c r="J202" s="82" t="s">
        <v>1812</v>
      </c>
      <c r="K202" s="82"/>
      <c r="L202" s="73">
        <v>56</v>
      </c>
      <c r="M202" s="82" t="s">
        <v>353</v>
      </c>
      <c r="N202" s="82" t="s">
        <v>354</v>
      </c>
      <c r="O202" s="73">
        <v>56</v>
      </c>
      <c r="P202" s="82" t="s">
        <v>353</v>
      </c>
      <c r="Q202" s="82" t="s">
        <v>501</v>
      </c>
      <c r="R202" s="82" t="s">
        <v>474</v>
      </c>
      <c r="S202" s="82"/>
      <c r="T202" s="82"/>
      <c r="U202" s="82"/>
      <c r="V202" s="82"/>
      <c r="W202" s="82"/>
      <c r="X202" s="82"/>
      <c r="Y202" s="82"/>
      <c r="Z202" s="82"/>
      <c r="AA202" s="82"/>
      <c r="AB202" s="82"/>
      <c r="AC202" s="82"/>
      <c r="AD202" s="82"/>
      <c r="AE202" s="82"/>
      <c r="AF202" s="82">
        <v>0</v>
      </c>
      <c r="AG202" s="82">
        <v>41</v>
      </c>
      <c r="AH202" s="82">
        <v>0</v>
      </c>
      <c r="AI202" s="82">
        <v>200</v>
      </c>
      <c r="AJ202" s="82">
        <v>0</v>
      </c>
      <c r="AK202" s="82">
        <v>0</v>
      </c>
      <c r="AL202" s="82">
        <v>1</v>
      </c>
      <c r="AM202" s="82">
        <v>10</v>
      </c>
      <c r="AN202" s="82"/>
      <c r="AO202" s="82">
        <v>7</v>
      </c>
      <c r="AP202" s="82">
        <v>0</v>
      </c>
      <c r="AQ202" s="82">
        <v>2</v>
      </c>
      <c r="AR202" s="82"/>
      <c r="AS202" s="82">
        <v>1</v>
      </c>
      <c r="AT202" s="82">
        <v>0</v>
      </c>
      <c r="AU202" s="82"/>
      <c r="AV202" s="82">
        <v>160</v>
      </c>
      <c r="AW202" s="82" t="s">
        <v>358</v>
      </c>
      <c r="AX202" s="82"/>
      <c r="AY202" s="82" t="s">
        <v>1103</v>
      </c>
      <c r="AZ202" s="82" t="s">
        <v>359</v>
      </c>
      <c r="BA202" s="82" t="s">
        <v>359</v>
      </c>
      <c r="BB202" s="82" t="s">
        <v>359</v>
      </c>
      <c r="BC202" s="82" t="s">
        <v>359</v>
      </c>
      <c r="BD202" s="82" t="s">
        <v>359</v>
      </c>
      <c r="BE202" s="82" t="s">
        <v>359</v>
      </c>
      <c r="BF202" s="82" t="s">
        <v>359</v>
      </c>
      <c r="BG202" s="82" t="s">
        <v>360</v>
      </c>
      <c r="BH202" s="82" t="s">
        <v>1929</v>
      </c>
      <c r="BI202" s="82"/>
      <c r="BJ202" s="82"/>
      <c r="BK202" s="82" t="s">
        <v>1909</v>
      </c>
      <c r="BL202" s="82" t="s">
        <v>1930</v>
      </c>
      <c r="BM202" s="82" t="s">
        <v>1981</v>
      </c>
      <c r="BN202" s="82" t="b">
        <v>0</v>
      </c>
    </row>
    <row r="203" spans="1:67">
      <c r="A203" s="100">
        <v>110541</v>
      </c>
      <c r="B203" s="89" t="s">
        <v>125</v>
      </c>
      <c r="C203" s="89" t="s">
        <v>95</v>
      </c>
      <c r="D203" s="89" t="s">
        <v>1259</v>
      </c>
      <c r="E203" s="89" t="s">
        <v>647</v>
      </c>
      <c r="F203" s="89" t="s">
        <v>647</v>
      </c>
      <c r="G203" s="89" t="s">
        <v>648</v>
      </c>
      <c r="H203" s="82" t="s">
        <v>2033</v>
      </c>
      <c r="I203" s="89" t="s">
        <v>1260</v>
      </c>
      <c r="J203" s="89" t="s">
        <v>629</v>
      </c>
      <c r="K203" s="89"/>
      <c r="L203" s="89">
        <v>124</v>
      </c>
      <c r="M203" s="89" t="s">
        <v>353</v>
      </c>
      <c r="N203" s="89" t="s">
        <v>354</v>
      </c>
      <c r="O203" s="89">
        <v>124</v>
      </c>
      <c r="P203" s="89" t="s">
        <v>353</v>
      </c>
      <c r="Q203" s="89" t="s">
        <v>630</v>
      </c>
      <c r="R203" s="89" t="s">
        <v>371</v>
      </c>
      <c r="S203" s="89"/>
      <c r="T203" s="89"/>
      <c r="U203" s="93"/>
      <c r="V203" s="93"/>
      <c r="W203" s="93"/>
      <c r="X203" s="89"/>
      <c r="Y203" s="89"/>
      <c r="Z203" s="89"/>
      <c r="AA203" s="89"/>
      <c r="AB203" s="93"/>
      <c r="AC203" s="93"/>
      <c r="AD203" s="89"/>
      <c r="AE203" s="89"/>
      <c r="AF203" s="89">
        <v>4</v>
      </c>
      <c r="AG203" s="89">
        <v>16</v>
      </c>
      <c r="AH203" s="89">
        <v>0</v>
      </c>
      <c r="AI203" s="89">
        <v>70</v>
      </c>
      <c r="AJ203" s="89">
        <v>0</v>
      </c>
      <c r="AK203" s="89">
        <v>0</v>
      </c>
      <c r="AL203" s="89">
        <v>1</v>
      </c>
      <c r="AM203" s="89">
        <v>1</v>
      </c>
      <c r="AN203" s="89">
        <v>124</v>
      </c>
      <c r="AO203" s="89">
        <v>0</v>
      </c>
      <c r="AP203" s="89">
        <v>5</v>
      </c>
      <c r="AQ203" s="89">
        <v>13</v>
      </c>
      <c r="AR203" s="89">
        <v>0</v>
      </c>
      <c r="AS203" s="89">
        <v>0</v>
      </c>
      <c r="AT203" s="89">
        <v>0</v>
      </c>
      <c r="AU203" s="89" t="s">
        <v>357</v>
      </c>
      <c r="AV203" s="100">
        <v>144</v>
      </c>
      <c r="AW203" s="89" t="s">
        <v>372</v>
      </c>
      <c r="AX203" s="89"/>
      <c r="AY203" s="89" t="s">
        <v>359</v>
      </c>
      <c r="AZ203" s="89" t="s">
        <v>359</v>
      </c>
      <c r="BA203" s="89" t="s">
        <v>359</v>
      </c>
      <c r="BB203" s="89" t="s">
        <v>359</v>
      </c>
      <c r="BC203" s="89" t="s">
        <v>476</v>
      </c>
      <c r="BD203" s="89" t="s">
        <v>476</v>
      </c>
      <c r="BE203" s="89" t="s">
        <v>359</v>
      </c>
      <c r="BF203" s="89" t="s">
        <v>359</v>
      </c>
      <c r="BG203" s="89" t="s">
        <v>359</v>
      </c>
      <c r="BH203" s="89" t="s">
        <v>651</v>
      </c>
      <c r="BI203" s="89" t="s">
        <v>652</v>
      </c>
      <c r="BJ203" s="89"/>
      <c r="BK203" s="82" t="s">
        <v>2018</v>
      </c>
      <c r="BL203" s="82" t="s">
        <v>2034</v>
      </c>
      <c r="BM203" s="89" t="s">
        <v>653</v>
      </c>
      <c r="BN203" s="89" t="b">
        <v>0</v>
      </c>
    </row>
    <row r="204" spans="1:67">
      <c r="A204" s="100">
        <v>110541</v>
      </c>
      <c r="B204" s="89" t="s">
        <v>125</v>
      </c>
      <c r="C204" s="89" t="s">
        <v>95</v>
      </c>
      <c r="D204" s="89" t="s">
        <v>1261</v>
      </c>
      <c r="E204" s="89" t="s">
        <v>1262</v>
      </c>
      <c r="F204" s="89" t="s">
        <v>654</v>
      </c>
      <c r="G204" s="89" t="s">
        <v>655</v>
      </c>
      <c r="H204" s="89" t="s">
        <v>1263</v>
      </c>
      <c r="I204" s="89" t="s">
        <v>1264</v>
      </c>
      <c r="J204" s="89" t="s">
        <v>1265</v>
      </c>
      <c r="K204" s="89" t="s">
        <v>908</v>
      </c>
      <c r="L204" s="89">
        <v>122</v>
      </c>
      <c r="M204" s="89" t="s">
        <v>353</v>
      </c>
      <c r="N204" s="89" t="s">
        <v>354</v>
      </c>
      <c r="O204" s="89"/>
      <c r="P204" s="89"/>
      <c r="Q204" s="89" t="s">
        <v>630</v>
      </c>
      <c r="R204" s="89" t="s">
        <v>474</v>
      </c>
      <c r="S204" s="89"/>
      <c r="T204" s="89"/>
      <c r="U204" s="93"/>
      <c r="V204" s="93"/>
      <c r="W204" s="93"/>
      <c r="X204" s="89"/>
      <c r="Y204" s="89"/>
      <c r="Z204" s="89"/>
      <c r="AA204" s="89"/>
      <c r="AB204" s="93"/>
      <c r="AC204" s="93"/>
      <c r="AD204" s="89"/>
      <c r="AE204" s="89"/>
      <c r="AF204" s="89">
        <v>5</v>
      </c>
      <c r="AG204" s="89">
        <v>13</v>
      </c>
      <c r="AH204" s="89">
        <v>0</v>
      </c>
      <c r="AI204" s="89">
        <v>50</v>
      </c>
      <c r="AJ204" s="89">
        <v>0</v>
      </c>
      <c r="AK204" s="89">
        <v>0</v>
      </c>
      <c r="AL204" s="89">
        <v>1</v>
      </c>
      <c r="AM204" s="89">
        <v>0</v>
      </c>
      <c r="AN204" s="89">
        <v>110</v>
      </c>
      <c r="AO204" s="89">
        <v>0</v>
      </c>
      <c r="AP204" s="89">
        <v>10</v>
      </c>
      <c r="AQ204" s="89">
        <v>11</v>
      </c>
      <c r="AR204" s="89">
        <v>0</v>
      </c>
      <c r="AS204" s="89">
        <v>0</v>
      </c>
      <c r="AT204" s="89">
        <v>0</v>
      </c>
      <c r="AU204" s="89"/>
      <c r="AV204" s="100">
        <v>144</v>
      </c>
      <c r="AW204" s="89" t="s">
        <v>358</v>
      </c>
      <c r="AX204" s="89"/>
      <c r="AY204" s="89" t="s">
        <v>359</v>
      </c>
      <c r="AZ204" s="89" t="s">
        <v>359</v>
      </c>
      <c r="BA204" s="89" t="s">
        <v>359</v>
      </c>
      <c r="BB204" s="89" t="s">
        <v>359</v>
      </c>
      <c r="BC204" s="89" t="s">
        <v>359</v>
      </c>
      <c r="BD204" s="89" t="s">
        <v>359</v>
      </c>
      <c r="BE204" s="89" t="s">
        <v>359</v>
      </c>
      <c r="BF204" s="89" t="s">
        <v>359</v>
      </c>
      <c r="BG204" s="89" t="s">
        <v>359</v>
      </c>
      <c r="BH204" s="89" t="s">
        <v>547</v>
      </c>
      <c r="BI204" s="89" t="s">
        <v>656</v>
      </c>
      <c r="BJ204" s="89"/>
      <c r="BK204" s="74">
        <v>44823.227812500001</v>
      </c>
      <c r="BL204" s="74">
        <v>44627.54420138889</v>
      </c>
      <c r="BM204" s="89" t="s">
        <v>1266</v>
      </c>
      <c r="BN204" s="89" t="b">
        <v>0</v>
      </c>
    </row>
    <row r="205" spans="1:67">
      <c r="A205" s="85">
        <v>110541</v>
      </c>
      <c r="B205" s="86" t="s">
        <v>125</v>
      </c>
      <c r="C205" s="86" t="s">
        <v>95</v>
      </c>
      <c r="D205" s="86" t="s">
        <v>1267</v>
      </c>
      <c r="E205" s="86" t="s">
        <v>662</v>
      </c>
      <c r="F205" s="86" t="s">
        <v>663</v>
      </c>
      <c r="G205" s="86" t="s">
        <v>663</v>
      </c>
      <c r="H205" s="86" t="s">
        <v>1268</v>
      </c>
      <c r="I205" s="86" t="s">
        <v>1269</v>
      </c>
      <c r="J205" s="86" t="s">
        <v>1270</v>
      </c>
      <c r="K205" s="86" t="s">
        <v>370</v>
      </c>
      <c r="L205" s="89">
        <v>135</v>
      </c>
      <c r="M205" s="89" t="s">
        <v>353</v>
      </c>
      <c r="N205" s="89" t="s">
        <v>354</v>
      </c>
      <c r="O205" s="89">
        <v>135</v>
      </c>
      <c r="P205" s="86" t="s">
        <v>353</v>
      </c>
      <c r="Q205" s="86" t="s">
        <v>630</v>
      </c>
      <c r="R205" s="86" t="s">
        <v>371</v>
      </c>
      <c r="S205" s="86"/>
      <c r="T205" s="86"/>
      <c r="U205" s="87"/>
      <c r="V205" s="87"/>
      <c r="W205" s="87"/>
      <c r="X205" s="86"/>
      <c r="Y205" s="86"/>
      <c r="Z205" s="86"/>
      <c r="AA205" s="86"/>
      <c r="AB205" s="87"/>
      <c r="AC205" s="87"/>
      <c r="AD205" s="86"/>
      <c r="AE205" s="86"/>
      <c r="AF205" s="89">
        <v>5</v>
      </c>
      <c r="AG205" s="89">
        <v>15</v>
      </c>
      <c r="AH205" s="89">
        <v>0</v>
      </c>
      <c r="AI205" s="89">
        <v>60</v>
      </c>
      <c r="AJ205" s="89">
        <v>0</v>
      </c>
      <c r="AK205" s="89">
        <v>0</v>
      </c>
      <c r="AL205" s="89">
        <v>1</v>
      </c>
      <c r="AM205" s="89">
        <v>0</v>
      </c>
      <c r="AN205" s="89">
        <v>100</v>
      </c>
      <c r="AO205" s="89">
        <v>0</v>
      </c>
      <c r="AP205" s="89">
        <v>0</v>
      </c>
      <c r="AQ205" s="89">
        <v>13</v>
      </c>
      <c r="AR205" s="86">
        <v>0</v>
      </c>
      <c r="AS205" s="86">
        <v>0</v>
      </c>
      <c r="AT205" s="86">
        <v>0</v>
      </c>
      <c r="AU205" s="86"/>
      <c r="AV205" s="86">
        <f>22*6</f>
        <v>132</v>
      </c>
      <c r="AW205" s="86" t="s">
        <v>372</v>
      </c>
      <c r="AX205" s="86"/>
      <c r="AY205" s="86" t="s">
        <v>359</v>
      </c>
      <c r="AZ205" s="86" t="s">
        <v>359</v>
      </c>
      <c r="BA205" s="86" t="s">
        <v>359</v>
      </c>
      <c r="BB205" s="86" t="s">
        <v>359</v>
      </c>
      <c r="BC205" s="86" t="s">
        <v>359</v>
      </c>
      <c r="BD205" s="86" t="s">
        <v>359</v>
      </c>
      <c r="BE205" s="86" t="s">
        <v>359</v>
      </c>
      <c r="BF205" s="86" t="s">
        <v>359</v>
      </c>
      <c r="BG205" s="86" t="s">
        <v>359</v>
      </c>
      <c r="BH205" s="86" t="s">
        <v>1271</v>
      </c>
      <c r="BI205" s="89" t="s">
        <v>656</v>
      </c>
      <c r="BJ205" s="86"/>
      <c r="BK205" s="74">
        <v>45139.564525462964</v>
      </c>
      <c r="BL205" s="74">
        <v>45156.782534722217</v>
      </c>
      <c r="BM205" s="86" t="s">
        <v>653</v>
      </c>
      <c r="BN205" s="89" t="b">
        <v>0</v>
      </c>
    </row>
    <row r="206" spans="1:67">
      <c r="A206" s="100">
        <v>110562</v>
      </c>
      <c r="B206" s="89" t="s">
        <v>234</v>
      </c>
      <c r="C206" s="89" t="s">
        <v>209</v>
      </c>
      <c r="D206" s="89" t="s">
        <v>1287</v>
      </c>
      <c r="E206" t="s">
        <v>1989</v>
      </c>
      <c r="F206" t="s">
        <v>1916</v>
      </c>
      <c r="G206" s="89" t="s">
        <v>762</v>
      </c>
      <c r="H206" s="89" t="s">
        <v>969</v>
      </c>
      <c r="I206" s="89" t="s">
        <v>1288</v>
      </c>
      <c r="J206" s="89" t="s">
        <v>969</v>
      </c>
      <c r="K206" s="89"/>
      <c r="L206" s="104">
        <v>56</v>
      </c>
      <c r="M206" s="89" t="s">
        <v>353</v>
      </c>
      <c r="N206" s="89" t="s">
        <v>354</v>
      </c>
      <c r="O206" s="104">
        <v>56</v>
      </c>
      <c r="P206" s="89" t="s">
        <v>353</v>
      </c>
      <c r="Q206" s="89" t="s">
        <v>630</v>
      </c>
      <c r="R206" s="89" t="s">
        <v>564</v>
      </c>
      <c r="S206" s="89"/>
      <c r="T206" s="89"/>
      <c r="U206" s="93"/>
      <c r="V206" s="93"/>
      <c r="W206" s="93"/>
      <c r="X206" s="89"/>
      <c r="Y206" s="89"/>
      <c r="Z206" s="89"/>
      <c r="AA206" s="89"/>
      <c r="AB206" s="93"/>
      <c r="AC206" s="93"/>
      <c r="AD206" s="89"/>
      <c r="AE206" s="89"/>
      <c r="AF206" s="89">
        <v>15</v>
      </c>
      <c r="AG206" s="89">
        <v>10</v>
      </c>
      <c r="AH206" s="89">
        <v>0</v>
      </c>
      <c r="AI206" s="89">
        <v>45</v>
      </c>
      <c r="AJ206" s="89">
        <v>0</v>
      </c>
      <c r="AK206" s="89">
        <v>0</v>
      </c>
      <c r="AL206" s="89">
        <v>1</v>
      </c>
      <c r="AM206" s="89">
        <v>0.4</v>
      </c>
      <c r="AN206" s="89">
        <v>365</v>
      </c>
      <c r="AO206" s="89">
        <v>1</v>
      </c>
      <c r="AP206" s="89">
        <v>15</v>
      </c>
      <c r="AQ206" s="89">
        <v>3.2</v>
      </c>
      <c r="AR206" s="89">
        <v>0</v>
      </c>
      <c r="AS206" s="89">
        <v>0</v>
      </c>
      <c r="AT206" s="89">
        <v>0</v>
      </c>
      <c r="AU206" s="89"/>
      <c r="AV206" s="104">
        <f>40*6</f>
        <v>240</v>
      </c>
      <c r="AW206" s="89" t="s">
        <v>358</v>
      </c>
      <c r="AX206" s="106" t="s">
        <v>373</v>
      </c>
      <c r="AY206" s="89" t="s">
        <v>359</v>
      </c>
      <c r="AZ206" s="89" t="s">
        <v>359</v>
      </c>
      <c r="BA206" s="89" t="s">
        <v>359</v>
      </c>
      <c r="BB206" s="89" t="s">
        <v>359</v>
      </c>
      <c r="BC206" s="89" t="s">
        <v>359</v>
      </c>
      <c r="BD206" s="89" t="s">
        <v>359</v>
      </c>
      <c r="BE206" s="89" t="s">
        <v>359</v>
      </c>
      <c r="BF206" s="89" t="s">
        <v>359</v>
      </c>
      <c r="BG206" s="89" t="s">
        <v>359</v>
      </c>
      <c r="BH206" s="89" t="s">
        <v>766</v>
      </c>
      <c r="BI206" s="89"/>
      <c r="BJ206" s="89"/>
      <c r="BK206" t="s">
        <v>2105</v>
      </c>
      <c r="BL206" t="s">
        <v>2119</v>
      </c>
      <c r="BM206" s="89" t="s">
        <v>1289</v>
      </c>
      <c r="BN206" s="89" t="b">
        <v>0</v>
      </c>
    </row>
    <row r="207" spans="1:67">
      <c r="A207" s="82">
        <v>110623</v>
      </c>
      <c r="B207" s="82" t="s">
        <v>126</v>
      </c>
      <c r="C207" s="82" t="s">
        <v>95</v>
      </c>
      <c r="D207" s="82" t="s">
        <v>1290</v>
      </c>
      <c r="E207" t="s">
        <v>1992</v>
      </c>
      <c r="F207" t="s">
        <v>1916</v>
      </c>
      <c r="G207" s="82" t="s">
        <v>762</v>
      </c>
      <c r="H207" s="82" t="s">
        <v>95</v>
      </c>
      <c r="I207" s="82" t="s">
        <v>1291</v>
      </c>
      <c r="J207" s="82" t="s">
        <v>95</v>
      </c>
      <c r="K207" s="82"/>
      <c r="L207" s="82">
        <v>70</v>
      </c>
      <c r="M207" s="82" t="s">
        <v>353</v>
      </c>
      <c r="N207" s="82" t="s">
        <v>354</v>
      </c>
      <c r="O207" s="82">
        <v>70</v>
      </c>
      <c r="P207" s="82" t="s">
        <v>353</v>
      </c>
      <c r="Q207" s="82" t="s">
        <v>630</v>
      </c>
      <c r="R207" s="82" t="s">
        <v>462</v>
      </c>
      <c r="S207" s="82"/>
      <c r="T207" s="82"/>
      <c r="U207" s="82"/>
      <c r="V207" s="82"/>
      <c r="W207" s="82"/>
      <c r="X207" s="82"/>
      <c r="Y207" s="82"/>
      <c r="Z207" s="82"/>
      <c r="AA207" s="82"/>
      <c r="AB207" s="82"/>
      <c r="AC207" s="82"/>
      <c r="AD207" s="82"/>
      <c r="AE207" s="82"/>
      <c r="AF207" s="82">
        <v>10</v>
      </c>
      <c r="AG207" s="82">
        <v>9</v>
      </c>
      <c r="AH207" s="82">
        <v>0</v>
      </c>
      <c r="AI207" s="82">
        <v>35</v>
      </c>
      <c r="AJ207" s="82">
        <v>0</v>
      </c>
      <c r="AK207" s="82">
        <v>0</v>
      </c>
      <c r="AL207" s="82">
        <v>2</v>
      </c>
      <c r="AM207" s="82">
        <v>0.1</v>
      </c>
      <c r="AN207" s="82">
        <v>40</v>
      </c>
      <c r="AO207" s="82">
        <v>0</v>
      </c>
      <c r="AP207" s="82">
        <v>0</v>
      </c>
      <c r="AQ207" s="82">
        <v>6</v>
      </c>
      <c r="AR207" s="82">
        <v>0</v>
      </c>
      <c r="AS207" s="82">
        <v>0.6</v>
      </c>
      <c r="AT207" s="82">
        <v>0</v>
      </c>
      <c r="AU207" s="82"/>
      <c r="AV207" s="82">
        <v>16</v>
      </c>
      <c r="AW207" s="82" t="s">
        <v>372</v>
      </c>
      <c r="AX207" s="82" t="b">
        <v>1</v>
      </c>
      <c r="AY207" s="82" t="s">
        <v>359</v>
      </c>
      <c r="AZ207" s="82" t="s">
        <v>359</v>
      </c>
      <c r="BA207" s="82" t="s">
        <v>359</v>
      </c>
      <c r="BB207" s="82" t="s">
        <v>359</v>
      </c>
      <c r="BC207" s="82" t="s">
        <v>359</v>
      </c>
      <c r="BD207" s="82" t="s">
        <v>359</v>
      </c>
      <c r="BE207" s="82" t="s">
        <v>359</v>
      </c>
      <c r="BF207" s="82" t="s">
        <v>359</v>
      </c>
      <c r="BG207" s="82" t="s">
        <v>359</v>
      </c>
      <c r="BH207" s="82" t="s">
        <v>766</v>
      </c>
      <c r="BI207" s="82"/>
      <c r="BJ207" s="82"/>
      <c r="BK207" t="s">
        <v>2105</v>
      </c>
      <c r="BL207" t="s">
        <v>2120</v>
      </c>
      <c r="BM207" s="82" t="s">
        <v>1291</v>
      </c>
      <c r="BN207" s="82" t="b">
        <v>0</v>
      </c>
    </row>
    <row r="208" spans="1:67">
      <c r="A208">
        <v>110623</v>
      </c>
      <c r="B208" t="s">
        <v>126</v>
      </c>
      <c r="C208" t="s">
        <v>95</v>
      </c>
      <c r="D208" t="s">
        <v>2305</v>
      </c>
      <c r="E208" t="s">
        <v>2306</v>
      </c>
      <c r="F208" t="s">
        <v>762</v>
      </c>
      <c r="G208" t="s">
        <v>762</v>
      </c>
      <c r="H208" t="s">
        <v>95</v>
      </c>
      <c r="I208" t="s">
        <v>1291</v>
      </c>
      <c r="J208" t="s">
        <v>95</v>
      </c>
      <c r="L208">
        <v>70</v>
      </c>
      <c r="M208" t="s">
        <v>353</v>
      </c>
      <c r="N208" t="s">
        <v>354</v>
      </c>
      <c r="O208">
        <v>70</v>
      </c>
      <c r="P208" t="s">
        <v>353</v>
      </c>
      <c r="Q208" t="s">
        <v>758</v>
      </c>
      <c r="R208" t="s">
        <v>462</v>
      </c>
      <c r="U208"/>
      <c r="V208"/>
      <c r="W208"/>
      <c r="AB208"/>
      <c r="AC208"/>
      <c r="AF208">
        <v>10</v>
      </c>
      <c r="AG208">
        <v>9</v>
      </c>
      <c r="AH208">
        <v>0</v>
      </c>
      <c r="AI208">
        <v>35</v>
      </c>
      <c r="AJ208">
        <v>0</v>
      </c>
      <c r="AK208">
        <v>0</v>
      </c>
      <c r="AL208">
        <v>2</v>
      </c>
      <c r="AM208">
        <v>0.1</v>
      </c>
      <c r="AN208">
        <v>40</v>
      </c>
      <c r="AO208">
        <v>0</v>
      </c>
      <c r="AP208">
        <v>0</v>
      </c>
      <c r="AQ208">
        <v>6</v>
      </c>
      <c r="AR208">
        <v>0</v>
      </c>
      <c r="AS208">
        <v>0</v>
      </c>
      <c r="AT208">
        <v>0</v>
      </c>
      <c r="AV208">
        <f>16*12</f>
        <v>192</v>
      </c>
      <c r="AW208" t="s">
        <v>372</v>
      </c>
      <c r="AX208" t="b">
        <v>1</v>
      </c>
      <c r="AY208" t="s">
        <v>359</v>
      </c>
      <c r="AZ208" t="s">
        <v>359</v>
      </c>
      <c r="BA208" t="s">
        <v>359</v>
      </c>
      <c r="BB208" t="s">
        <v>359</v>
      </c>
      <c r="BC208" t="s">
        <v>359</v>
      </c>
      <c r="BD208" t="s">
        <v>359</v>
      </c>
      <c r="BE208" t="s">
        <v>359</v>
      </c>
      <c r="BF208" t="s">
        <v>359</v>
      </c>
      <c r="BG208" t="s">
        <v>359</v>
      </c>
      <c r="BH208" t="s">
        <v>2296</v>
      </c>
      <c r="BK208" t="s">
        <v>2297</v>
      </c>
      <c r="BL208" t="s">
        <v>2298</v>
      </c>
      <c r="BM208" t="s">
        <v>1291</v>
      </c>
      <c r="BN208" t="b">
        <v>0</v>
      </c>
    </row>
    <row r="209" spans="1:66">
      <c r="A209" s="82">
        <v>110623</v>
      </c>
      <c r="B209" s="82" t="s">
        <v>126</v>
      </c>
      <c r="C209" s="82" t="s">
        <v>95</v>
      </c>
      <c r="D209" s="82" t="s">
        <v>1917</v>
      </c>
      <c r="E209" s="82" t="s">
        <v>1870</v>
      </c>
      <c r="F209" s="82" t="s">
        <v>1871</v>
      </c>
      <c r="G209" s="82" t="s">
        <v>1871</v>
      </c>
      <c r="H209" s="82" t="s">
        <v>1918</v>
      </c>
      <c r="I209" s="82" t="s">
        <v>1919</v>
      </c>
      <c r="J209" s="82"/>
      <c r="K209" s="82" t="s">
        <v>370</v>
      </c>
      <c r="L209" s="82">
        <v>78</v>
      </c>
      <c r="M209" s="82" t="s">
        <v>353</v>
      </c>
      <c r="N209" s="82" t="s">
        <v>419</v>
      </c>
      <c r="O209" s="82">
        <v>100</v>
      </c>
      <c r="P209" s="82" t="s">
        <v>353</v>
      </c>
      <c r="Q209" s="82" t="s">
        <v>630</v>
      </c>
      <c r="R209" s="82" t="s">
        <v>474</v>
      </c>
      <c r="S209" s="82"/>
      <c r="T209" s="82"/>
      <c r="U209" s="82"/>
      <c r="V209" s="82"/>
      <c r="W209" s="82"/>
      <c r="X209" s="82"/>
      <c r="Y209" s="82"/>
      <c r="Z209" s="82"/>
      <c r="AA209" s="82"/>
      <c r="AB209" s="82"/>
      <c r="AC209" s="82"/>
      <c r="AD209" s="82"/>
      <c r="AE209" s="82"/>
      <c r="AF209" s="82">
        <v>6</v>
      </c>
      <c r="AG209" s="82">
        <v>9.49</v>
      </c>
      <c r="AH209" s="82">
        <v>0</v>
      </c>
      <c r="AI209" s="82">
        <v>40</v>
      </c>
      <c r="AJ209" s="82">
        <v>0.04</v>
      </c>
      <c r="AK209" s="82">
        <v>0</v>
      </c>
      <c r="AL209" s="82">
        <v>2.1</v>
      </c>
      <c r="AM209" s="82">
        <v>0.14000000000000001</v>
      </c>
      <c r="AN209" s="82">
        <v>42</v>
      </c>
      <c r="AO209" s="82">
        <v>0.33</v>
      </c>
      <c r="AP209" s="82">
        <v>1</v>
      </c>
      <c r="AQ209" s="82">
        <v>6.59</v>
      </c>
      <c r="AR209" s="82">
        <v>0</v>
      </c>
      <c r="AS209" s="82">
        <v>0.5</v>
      </c>
      <c r="AT209" s="82">
        <v>0</v>
      </c>
      <c r="AU209" s="82"/>
      <c r="AV209" s="82">
        <f>15*12</f>
        <v>180</v>
      </c>
      <c r="AW209" s="82" t="s">
        <v>372</v>
      </c>
      <c r="AX209" s="82" t="b">
        <v>1</v>
      </c>
      <c r="AY209" s="82" t="s">
        <v>359</v>
      </c>
      <c r="AZ209" s="82" t="s">
        <v>359</v>
      </c>
      <c r="BA209" s="82" t="s">
        <v>359</v>
      </c>
      <c r="BB209" s="82" t="s">
        <v>359</v>
      </c>
      <c r="BC209" s="82" t="s">
        <v>359</v>
      </c>
      <c r="BD209" s="82" t="s">
        <v>359</v>
      </c>
      <c r="BE209" s="82" t="s">
        <v>359</v>
      </c>
      <c r="BF209" s="82" t="s">
        <v>359</v>
      </c>
      <c r="BG209" s="82" t="s">
        <v>359</v>
      </c>
      <c r="BH209" s="82" t="s">
        <v>1920</v>
      </c>
      <c r="BI209" s="82" t="s">
        <v>1876</v>
      </c>
      <c r="BJ209" s="82"/>
      <c r="BK209" s="82" t="s">
        <v>1909</v>
      </c>
      <c r="BL209" s="82" t="s">
        <v>1921</v>
      </c>
      <c r="BM209" s="82" t="s">
        <v>1291</v>
      </c>
      <c r="BN209" s="82" t="b">
        <v>1</v>
      </c>
    </row>
    <row r="210" spans="1:66">
      <c r="A210" s="85">
        <v>110624</v>
      </c>
      <c r="B210" s="83" t="s">
        <v>126</v>
      </c>
      <c r="C210" s="83" t="s">
        <v>95</v>
      </c>
      <c r="D210" s="83" t="s">
        <v>1292</v>
      </c>
      <c r="E210" t="s">
        <v>1992</v>
      </c>
      <c r="F210" t="s">
        <v>1916</v>
      </c>
      <c r="G210" s="89" t="s">
        <v>762</v>
      </c>
      <c r="H210" s="83" t="s">
        <v>95</v>
      </c>
      <c r="I210" s="83" t="s">
        <v>1291</v>
      </c>
      <c r="J210" s="83" t="s">
        <v>95</v>
      </c>
      <c r="K210" s="83"/>
      <c r="L210" s="98">
        <v>70</v>
      </c>
      <c r="M210" s="83" t="s">
        <v>353</v>
      </c>
      <c r="N210" s="83" t="s">
        <v>354</v>
      </c>
      <c r="O210" s="98">
        <v>70</v>
      </c>
      <c r="P210" s="83" t="s">
        <v>353</v>
      </c>
      <c r="Q210" s="83" t="s">
        <v>630</v>
      </c>
      <c r="R210" s="83" t="s">
        <v>462</v>
      </c>
      <c r="S210" s="83"/>
      <c r="T210" s="83"/>
      <c r="U210" s="84"/>
      <c r="V210" s="84"/>
      <c r="W210" s="84"/>
      <c r="X210" s="83"/>
      <c r="Y210" s="83"/>
      <c r="Z210" s="83"/>
      <c r="AA210" s="83"/>
      <c r="AB210" s="84"/>
      <c r="AC210" s="84"/>
      <c r="AD210" s="83"/>
      <c r="AE210" s="83"/>
      <c r="AF210" s="83">
        <v>10</v>
      </c>
      <c r="AG210" s="83">
        <v>9</v>
      </c>
      <c r="AH210" s="83">
        <v>0</v>
      </c>
      <c r="AI210" s="83">
        <v>35</v>
      </c>
      <c r="AJ210" s="83">
        <v>0</v>
      </c>
      <c r="AK210" s="83">
        <v>0</v>
      </c>
      <c r="AL210" s="83">
        <v>2</v>
      </c>
      <c r="AM210" s="83">
        <v>0.1</v>
      </c>
      <c r="AN210" s="83">
        <v>40</v>
      </c>
      <c r="AO210" s="83">
        <v>0</v>
      </c>
      <c r="AP210" s="83">
        <v>0</v>
      </c>
      <c r="AQ210" s="83">
        <v>6</v>
      </c>
      <c r="AR210" s="83">
        <v>0</v>
      </c>
      <c r="AS210" s="83">
        <v>0</v>
      </c>
      <c r="AT210" s="83">
        <v>0</v>
      </c>
      <c r="AU210" s="83"/>
      <c r="AV210" s="98" t="s">
        <v>765</v>
      </c>
      <c r="AW210" s="83" t="s">
        <v>372</v>
      </c>
      <c r="AX210" s="99" t="s">
        <v>373</v>
      </c>
      <c r="AY210" s="83" t="s">
        <v>359</v>
      </c>
      <c r="AZ210" s="83" t="s">
        <v>359</v>
      </c>
      <c r="BA210" s="83" t="s">
        <v>359</v>
      </c>
      <c r="BB210" s="83" t="s">
        <v>359</v>
      </c>
      <c r="BC210" s="83" t="s">
        <v>359</v>
      </c>
      <c r="BD210" s="83" t="s">
        <v>359</v>
      </c>
      <c r="BE210" s="83" t="s">
        <v>359</v>
      </c>
      <c r="BF210" s="83" t="s">
        <v>359</v>
      </c>
      <c r="BG210" s="83" t="s">
        <v>359</v>
      </c>
      <c r="BH210" s="83" t="s">
        <v>766</v>
      </c>
      <c r="BI210" s="83"/>
      <c r="BJ210" s="83"/>
      <c r="BK210" t="s">
        <v>2105</v>
      </c>
      <c r="BL210" t="s">
        <v>2121</v>
      </c>
      <c r="BM210" s="83" t="s">
        <v>1291</v>
      </c>
      <c r="BN210" s="83" t="b">
        <v>0</v>
      </c>
    </row>
    <row r="211" spans="1:66">
      <c r="A211" s="73">
        <v>110624</v>
      </c>
      <c r="B211" s="82" t="s">
        <v>126</v>
      </c>
      <c r="C211" s="82" t="s">
        <v>95</v>
      </c>
      <c r="D211" s="82" t="s">
        <v>1869</v>
      </c>
      <c r="E211" s="82" t="s">
        <v>1870</v>
      </c>
      <c r="F211" s="82" t="s">
        <v>1871</v>
      </c>
      <c r="G211" s="82" t="s">
        <v>1871</v>
      </c>
      <c r="H211" s="82" t="s">
        <v>1872</v>
      </c>
      <c r="I211" s="82" t="s">
        <v>1873</v>
      </c>
      <c r="J211" s="82" t="s">
        <v>1874</v>
      </c>
      <c r="K211" s="82" t="s">
        <v>370</v>
      </c>
      <c r="L211" s="82">
        <v>78</v>
      </c>
      <c r="M211" s="82" t="s">
        <v>353</v>
      </c>
      <c r="N211" s="82" t="s">
        <v>419</v>
      </c>
      <c r="O211" s="82">
        <v>100</v>
      </c>
      <c r="P211" s="82" t="s">
        <v>353</v>
      </c>
      <c r="Q211" s="82" t="s">
        <v>630</v>
      </c>
      <c r="R211" s="82" t="s">
        <v>462</v>
      </c>
      <c r="S211" s="82"/>
      <c r="T211" s="82"/>
      <c r="U211" s="82"/>
      <c r="V211" s="82"/>
      <c r="W211" s="82"/>
      <c r="X211" s="82"/>
      <c r="Y211" s="82"/>
      <c r="Z211" s="82"/>
      <c r="AA211" s="82"/>
      <c r="AB211" s="82"/>
      <c r="AC211" s="82"/>
      <c r="AD211" s="82"/>
      <c r="AE211" s="82"/>
      <c r="AF211" s="82">
        <v>6.24</v>
      </c>
      <c r="AG211" s="82">
        <v>9.4925999999999995</v>
      </c>
      <c r="AH211" s="82">
        <v>0</v>
      </c>
      <c r="AI211" s="82">
        <v>39.78</v>
      </c>
      <c r="AJ211" s="82">
        <v>4.1340000000000002E-2</v>
      </c>
      <c r="AK211" s="82">
        <v>0</v>
      </c>
      <c r="AL211" s="82">
        <v>2.1059999999999999</v>
      </c>
      <c r="AM211" s="82">
        <v>0.1404</v>
      </c>
      <c r="AN211" s="82">
        <v>42.12</v>
      </c>
      <c r="AO211" s="82">
        <v>0.3276</v>
      </c>
      <c r="AP211" s="82">
        <v>0.78</v>
      </c>
      <c r="AQ211" s="82">
        <v>6.5910000000000002</v>
      </c>
      <c r="AR211" s="82">
        <v>0</v>
      </c>
      <c r="AS211" s="82">
        <v>0.49919999999999998</v>
      </c>
      <c r="AT211" s="82">
        <v>0</v>
      </c>
      <c r="AU211" s="82"/>
      <c r="AV211" s="82">
        <v>172</v>
      </c>
      <c r="AW211" s="82" t="s">
        <v>358</v>
      </c>
      <c r="AX211" s="82" t="b">
        <v>1</v>
      </c>
      <c r="AY211" s="82" t="s">
        <v>359</v>
      </c>
      <c r="AZ211" s="82" t="s">
        <v>359</v>
      </c>
      <c r="BA211" s="82" t="s">
        <v>359</v>
      </c>
      <c r="BB211" s="82" t="s">
        <v>359</v>
      </c>
      <c r="BC211" s="82" t="s">
        <v>359</v>
      </c>
      <c r="BD211" s="82" t="s">
        <v>359</v>
      </c>
      <c r="BE211" s="82" t="s">
        <v>359</v>
      </c>
      <c r="BF211" s="82" t="s">
        <v>359</v>
      </c>
      <c r="BG211" s="82" t="s">
        <v>359</v>
      </c>
      <c r="BH211" s="82" t="s">
        <v>1875</v>
      </c>
      <c r="BI211" s="82" t="s">
        <v>1876</v>
      </c>
      <c r="BJ211" s="82"/>
      <c r="BK211" s="74">
        <v>45383.392916666657</v>
      </c>
      <c r="BL211" s="74">
        <v>45365.567696759259</v>
      </c>
      <c r="BM211" s="82" t="s">
        <v>1291</v>
      </c>
      <c r="BN211" s="82" t="b">
        <v>1</v>
      </c>
    </row>
    <row r="212" spans="1:66">
      <c r="A212" s="100">
        <v>110651</v>
      </c>
      <c r="B212" s="89" t="s">
        <v>1293</v>
      </c>
      <c r="C212" s="89" t="s">
        <v>95</v>
      </c>
      <c r="D212" s="89" t="s">
        <v>1294</v>
      </c>
      <c r="E212" s="89" t="s">
        <v>779</v>
      </c>
      <c r="F212" s="89" t="s">
        <v>780</v>
      </c>
      <c r="G212" s="89" t="s">
        <v>781</v>
      </c>
      <c r="H212" s="89" t="s">
        <v>1295</v>
      </c>
      <c r="I212" s="89" t="s">
        <v>1296</v>
      </c>
      <c r="J212" s="89" t="s">
        <v>1297</v>
      </c>
      <c r="K212" s="89"/>
      <c r="L212" s="89" t="s">
        <v>785</v>
      </c>
      <c r="M212" s="89" t="s">
        <v>786</v>
      </c>
      <c r="N212" s="89" t="s">
        <v>787</v>
      </c>
      <c r="O212" s="89">
        <v>4</v>
      </c>
      <c r="P212" s="89" t="s">
        <v>788</v>
      </c>
      <c r="Q212" s="89" t="s">
        <v>789</v>
      </c>
      <c r="R212" s="89" t="s">
        <v>462</v>
      </c>
      <c r="S212" s="89"/>
      <c r="T212" s="89"/>
      <c r="U212" s="93"/>
      <c r="V212" s="93"/>
      <c r="W212" s="93"/>
      <c r="X212" s="89"/>
      <c r="Y212" s="89"/>
      <c r="Z212" s="89"/>
      <c r="AA212" s="89"/>
      <c r="AB212" s="93"/>
      <c r="AC212" s="93"/>
      <c r="AD212" s="89"/>
      <c r="AE212" s="89"/>
      <c r="AF212" s="89">
        <v>0</v>
      </c>
      <c r="AG212" s="89">
        <v>14</v>
      </c>
      <c r="AH212" s="89">
        <v>0</v>
      </c>
      <c r="AI212" s="89">
        <v>60</v>
      </c>
      <c r="AJ212" s="89">
        <v>0</v>
      </c>
      <c r="AK212" s="89">
        <v>0</v>
      </c>
      <c r="AL212" s="89">
        <v>0</v>
      </c>
      <c r="AM212" s="89">
        <v>0</v>
      </c>
      <c r="AN212" s="89">
        <v>240</v>
      </c>
      <c r="AO212" s="89">
        <v>0</v>
      </c>
      <c r="AP212" s="89">
        <v>0</v>
      </c>
      <c r="AQ212" s="89">
        <v>12</v>
      </c>
      <c r="AR212" s="89">
        <v>0</v>
      </c>
      <c r="AS212" s="89">
        <v>0</v>
      </c>
      <c r="AT212" s="89">
        <v>0</v>
      </c>
      <c r="AU212" s="89"/>
      <c r="AV212" s="89">
        <v>96</v>
      </c>
      <c r="AW212" s="89" t="s">
        <v>358</v>
      </c>
      <c r="AX212" s="89" t="b">
        <v>1</v>
      </c>
      <c r="AY212" s="89"/>
      <c r="AZ212" s="89"/>
      <c r="BA212" s="89"/>
      <c r="BB212" s="89"/>
      <c r="BC212" s="89"/>
      <c r="BD212" s="89"/>
      <c r="BE212" s="89"/>
      <c r="BF212" s="89"/>
      <c r="BG212" s="89"/>
      <c r="BH212" s="89"/>
      <c r="BI212" s="89"/>
      <c r="BJ212" s="89"/>
      <c r="BK212" s="74">
        <v>45078.381249999999</v>
      </c>
      <c r="BL212" s="74">
        <v>44959.317361111112</v>
      </c>
      <c r="BM212" s="89" t="s">
        <v>1298</v>
      </c>
      <c r="BN212" s="89" t="b">
        <v>0</v>
      </c>
    </row>
    <row r="213" spans="1:66" ht="28.8">
      <c r="A213" s="100">
        <v>110711</v>
      </c>
      <c r="B213" s="89" t="s">
        <v>62</v>
      </c>
      <c r="C213" s="89" t="s">
        <v>53</v>
      </c>
      <c r="D213" s="89" t="s">
        <v>1299</v>
      </c>
      <c r="E213" s="89" t="s">
        <v>495</v>
      </c>
      <c r="F213" s="89" t="s">
        <v>496</v>
      </c>
      <c r="G213" s="89" t="s">
        <v>496</v>
      </c>
      <c r="H213" s="89" t="s">
        <v>1300</v>
      </c>
      <c r="I213" s="89" t="s">
        <v>1301</v>
      </c>
      <c r="J213" s="89" t="s">
        <v>1302</v>
      </c>
      <c r="K213" s="89" t="s">
        <v>370</v>
      </c>
      <c r="L213" s="89">
        <v>62</v>
      </c>
      <c r="M213" s="89" t="s">
        <v>353</v>
      </c>
      <c r="N213" s="89" t="s">
        <v>354</v>
      </c>
      <c r="O213" s="89">
        <v>2.2000000000000002</v>
      </c>
      <c r="P213" s="89" t="s">
        <v>788</v>
      </c>
      <c r="Q213" s="89" t="s">
        <v>1303</v>
      </c>
      <c r="R213" s="89" t="s">
        <v>356</v>
      </c>
      <c r="S213" s="103" t="s">
        <v>1304</v>
      </c>
      <c r="T213" s="89">
        <v>97200</v>
      </c>
      <c r="U213" s="93" t="s">
        <v>432</v>
      </c>
      <c r="V213" s="89" t="s">
        <v>1305</v>
      </c>
      <c r="W213" s="89" t="s">
        <v>1306</v>
      </c>
      <c r="X213" s="89" t="s">
        <v>1307</v>
      </c>
      <c r="Y213" s="103" t="s">
        <v>1308</v>
      </c>
      <c r="Z213" s="89">
        <v>45102</v>
      </c>
      <c r="AA213" s="89"/>
      <c r="AB213" s="93"/>
      <c r="AC213" s="93"/>
      <c r="AD213" s="89"/>
      <c r="AE213" s="89"/>
      <c r="AF213" s="89">
        <v>0</v>
      </c>
      <c r="AG213" s="89">
        <v>0</v>
      </c>
      <c r="AH213" s="89">
        <v>45</v>
      </c>
      <c r="AI213" s="89">
        <v>120</v>
      </c>
      <c r="AJ213" s="89">
        <v>2.5</v>
      </c>
      <c r="AK213" s="89"/>
      <c r="AL213" s="89">
        <v>0</v>
      </c>
      <c r="AM213" s="89"/>
      <c r="AN213" s="89"/>
      <c r="AO213" s="89">
        <v>13</v>
      </c>
      <c r="AP213" s="89">
        <v>150</v>
      </c>
      <c r="AQ213" s="89">
        <v>0</v>
      </c>
      <c r="AR213" s="89"/>
      <c r="AS213" s="89">
        <v>7</v>
      </c>
      <c r="AT213" s="89"/>
      <c r="AU213" s="89" t="s">
        <v>502</v>
      </c>
      <c r="AV213" s="89" t="s">
        <v>1174</v>
      </c>
      <c r="AW213" s="89" t="s">
        <v>358</v>
      </c>
      <c r="AX213" s="89" t="s">
        <v>373</v>
      </c>
      <c r="AY213" s="89" t="s">
        <v>359</v>
      </c>
      <c r="AZ213" s="89" t="s">
        <v>359</v>
      </c>
      <c r="BA213" s="89" t="s">
        <v>359</v>
      </c>
      <c r="BB213" s="89" t="s">
        <v>359</v>
      </c>
      <c r="BC213" s="89" t="s">
        <v>359</v>
      </c>
      <c r="BD213" s="89" t="s">
        <v>359</v>
      </c>
      <c r="BE213" s="89" t="s">
        <v>359</v>
      </c>
      <c r="BF213" s="89" t="s">
        <v>359</v>
      </c>
      <c r="BG213" s="89" t="s">
        <v>359</v>
      </c>
      <c r="BH213" s="89" t="s">
        <v>1309</v>
      </c>
      <c r="BI213" s="89"/>
      <c r="BJ213" s="89"/>
      <c r="BK213" s="74">
        <v>45078.384270833332</v>
      </c>
      <c r="BL213" s="74">
        <v>45048.554745370369</v>
      </c>
      <c r="BM213" s="89" t="s">
        <v>1310</v>
      </c>
      <c r="BN213" s="89" t="b">
        <v>0</v>
      </c>
    </row>
    <row r="214" spans="1:66">
      <c r="A214" s="100">
        <v>110711</v>
      </c>
      <c r="B214" s="89" t="s">
        <v>62</v>
      </c>
      <c r="C214" s="89" t="s">
        <v>53</v>
      </c>
      <c r="D214" s="89" t="s">
        <v>1311</v>
      </c>
      <c r="E214" s="89" t="s">
        <v>559</v>
      </c>
      <c r="F214" s="89" t="s">
        <v>560</v>
      </c>
      <c r="G214" s="89" t="s">
        <v>561</v>
      </c>
      <c r="H214" s="89" t="s">
        <v>1312</v>
      </c>
      <c r="I214" s="89" t="s">
        <v>1169</v>
      </c>
      <c r="J214" s="89" t="s">
        <v>1170</v>
      </c>
      <c r="K214" s="89" t="s">
        <v>370</v>
      </c>
      <c r="L214" s="89">
        <v>62.4</v>
      </c>
      <c r="M214" s="89" t="s">
        <v>353</v>
      </c>
      <c r="N214" s="89" t="s">
        <v>1186</v>
      </c>
      <c r="O214" s="89">
        <v>62.4</v>
      </c>
      <c r="P214" s="89" t="s">
        <v>353</v>
      </c>
      <c r="Q214" s="89" t="s">
        <v>1171</v>
      </c>
      <c r="R214" s="89" t="s">
        <v>1000</v>
      </c>
      <c r="S214" s="103" t="s">
        <v>1313</v>
      </c>
      <c r="T214" s="89"/>
      <c r="U214" s="93"/>
      <c r="V214" s="93"/>
      <c r="W214" s="93"/>
      <c r="X214" s="89"/>
      <c r="Y214" s="103" t="s">
        <v>1314</v>
      </c>
      <c r="Z214" s="89"/>
      <c r="AA214" s="89"/>
      <c r="AB214" s="93"/>
      <c r="AC214" s="93"/>
      <c r="AD214" s="89"/>
      <c r="AE214" s="89"/>
      <c r="AF214" s="89">
        <v>0</v>
      </c>
      <c r="AG214" s="89">
        <v>0</v>
      </c>
      <c r="AH214" s="89">
        <v>40</v>
      </c>
      <c r="AI214" s="89">
        <v>120</v>
      </c>
      <c r="AJ214" s="89">
        <v>3</v>
      </c>
      <c r="AK214" s="89">
        <v>0</v>
      </c>
      <c r="AL214" s="89">
        <v>0</v>
      </c>
      <c r="AM214" s="89">
        <v>1.2</v>
      </c>
      <c r="AN214" s="89"/>
      <c r="AO214" s="89">
        <v>12</v>
      </c>
      <c r="AP214" s="89">
        <v>200</v>
      </c>
      <c r="AQ214" s="89">
        <v>0</v>
      </c>
      <c r="AR214" s="89"/>
      <c r="AS214" s="89">
        <v>7</v>
      </c>
      <c r="AT214" s="89"/>
      <c r="AU214" s="89"/>
      <c r="AV214" s="89" t="s">
        <v>1174</v>
      </c>
      <c r="AW214" s="89" t="s">
        <v>358</v>
      </c>
      <c r="AX214" s="89" t="s">
        <v>373</v>
      </c>
      <c r="AY214" s="89"/>
      <c r="AZ214" s="89"/>
      <c r="BA214" s="89"/>
      <c r="BB214" s="89"/>
      <c r="BC214" s="89"/>
      <c r="BD214" s="89"/>
      <c r="BE214" s="89"/>
      <c r="BF214" s="89"/>
      <c r="BG214" s="89"/>
      <c r="BH214" s="89" t="s">
        <v>804</v>
      </c>
      <c r="BI214" s="89"/>
      <c r="BJ214" s="89"/>
      <c r="BK214" s="74">
        <v>45078.384641203702</v>
      </c>
      <c r="BL214" s="74">
        <v>44876.621388888889</v>
      </c>
      <c r="BM214" s="89" t="s">
        <v>1315</v>
      </c>
      <c r="BN214" s="89" t="b">
        <v>0</v>
      </c>
    </row>
    <row r="215" spans="1:66">
      <c r="A215">
        <v>110711</v>
      </c>
      <c r="B215" t="s">
        <v>62</v>
      </c>
      <c r="C215" t="s">
        <v>53</v>
      </c>
      <c r="D215" t="s">
        <v>2062</v>
      </c>
      <c r="E215" t="s">
        <v>2063</v>
      </c>
      <c r="F215" t="s">
        <v>2064</v>
      </c>
      <c r="G215" t="s">
        <v>2065</v>
      </c>
      <c r="H215" t="s">
        <v>2066</v>
      </c>
      <c r="I215" t="s">
        <v>2067</v>
      </c>
      <c r="J215" t="s">
        <v>2066</v>
      </c>
      <c r="L215">
        <v>62</v>
      </c>
      <c r="M215" t="s">
        <v>353</v>
      </c>
      <c r="N215" t="s">
        <v>419</v>
      </c>
      <c r="O215">
        <v>100</v>
      </c>
      <c r="P215" t="s">
        <v>353</v>
      </c>
      <c r="Q215" t="s">
        <v>2068</v>
      </c>
      <c r="R215" t="s">
        <v>564</v>
      </c>
      <c r="S215" s="122" t="s">
        <v>1304</v>
      </c>
      <c r="U215"/>
      <c r="V215"/>
      <c r="W215"/>
      <c r="Y215" s="122" t="s">
        <v>2069</v>
      </c>
      <c r="AB215"/>
      <c r="AC215"/>
      <c r="AF215">
        <v>11</v>
      </c>
      <c r="AG215">
        <v>0.25</v>
      </c>
      <c r="AH215">
        <v>40</v>
      </c>
      <c r="AI215">
        <v>130</v>
      </c>
      <c r="AJ215">
        <v>3.37</v>
      </c>
      <c r="AK215">
        <v>0.51</v>
      </c>
      <c r="AL215">
        <v>0</v>
      </c>
      <c r="AM215">
        <v>1.34</v>
      </c>
      <c r="AN215">
        <v>176</v>
      </c>
      <c r="AO215">
        <v>11.47</v>
      </c>
      <c r="AP215">
        <v>125</v>
      </c>
      <c r="AQ215">
        <v>0.19</v>
      </c>
      <c r="AR215">
        <v>0</v>
      </c>
      <c r="AS215">
        <v>8.27</v>
      </c>
      <c r="AT215">
        <v>0</v>
      </c>
      <c r="AV215">
        <v>291</v>
      </c>
      <c r="AW215" t="s">
        <v>358</v>
      </c>
      <c r="AX215" t="b">
        <v>1</v>
      </c>
      <c r="BE215" t="s">
        <v>360</v>
      </c>
      <c r="BH215" t="s">
        <v>567</v>
      </c>
      <c r="BK215" t="s">
        <v>2042</v>
      </c>
      <c r="BL215" t="s">
        <v>2070</v>
      </c>
      <c r="BM215" t="s">
        <v>2071</v>
      </c>
      <c r="BN215" t="b">
        <v>1</v>
      </c>
    </row>
    <row r="216" spans="1:66">
      <c r="A216" s="100">
        <v>110721</v>
      </c>
      <c r="B216" s="89" t="s">
        <v>235</v>
      </c>
      <c r="C216" s="89" t="s">
        <v>209</v>
      </c>
      <c r="D216" s="89" t="s">
        <v>1316</v>
      </c>
      <c r="E216" t="s">
        <v>1989</v>
      </c>
      <c r="F216" t="s">
        <v>1916</v>
      </c>
      <c r="G216" s="89" t="s">
        <v>762</v>
      </c>
      <c r="H216" s="89" t="s">
        <v>969</v>
      </c>
      <c r="I216" s="89" t="s">
        <v>1317</v>
      </c>
      <c r="J216" s="89" t="s">
        <v>969</v>
      </c>
      <c r="K216" s="89"/>
      <c r="L216" s="104">
        <v>85</v>
      </c>
      <c r="M216" s="89" t="s">
        <v>353</v>
      </c>
      <c r="N216" s="89" t="s">
        <v>354</v>
      </c>
      <c r="O216" s="104">
        <v>85</v>
      </c>
      <c r="P216" s="89" t="s">
        <v>353</v>
      </c>
      <c r="Q216" s="89" t="s">
        <v>630</v>
      </c>
      <c r="R216" s="89" t="s">
        <v>564</v>
      </c>
      <c r="S216" s="89"/>
      <c r="T216" s="89"/>
      <c r="U216" s="93"/>
      <c r="V216" s="93"/>
      <c r="W216" s="93"/>
      <c r="X216" s="89"/>
      <c r="Y216" s="89"/>
      <c r="Z216" s="89"/>
      <c r="AA216" s="89"/>
      <c r="AB216" s="93"/>
      <c r="AC216" s="93"/>
      <c r="AD216" s="89"/>
      <c r="AE216" s="89"/>
      <c r="AF216" s="89">
        <v>19</v>
      </c>
      <c r="AG216" s="89">
        <v>19</v>
      </c>
      <c r="AH216" s="89">
        <v>0</v>
      </c>
      <c r="AI216" s="89">
        <v>130</v>
      </c>
      <c r="AJ216" s="89">
        <v>1</v>
      </c>
      <c r="AK216" s="89">
        <v>0</v>
      </c>
      <c r="AL216" s="89">
        <v>4</v>
      </c>
      <c r="AM216" s="89">
        <v>0.4</v>
      </c>
      <c r="AN216" s="89">
        <v>350</v>
      </c>
      <c r="AO216" s="89">
        <v>2</v>
      </c>
      <c r="AP216" s="89">
        <v>100</v>
      </c>
      <c r="AQ216" s="89">
        <v>7</v>
      </c>
      <c r="AR216" s="89">
        <v>0</v>
      </c>
      <c r="AS216" s="89">
        <v>5</v>
      </c>
      <c r="AT216" s="89">
        <v>0</v>
      </c>
      <c r="AU216" s="89"/>
      <c r="AV216" s="104">
        <f>26*6</f>
        <v>156</v>
      </c>
      <c r="AW216" s="89" t="s">
        <v>358</v>
      </c>
      <c r="AX216" s="106" t="s">
        <v>373</v>
      </c>
      <c r="AY216" s="89" t="s">
        <v>359</v>
      </c>
      <c r="AZ216" s="89" t="s">
        <v>359</v>
      </c>
      <c r="BA216" s="89" t="s">
        <v>359</v>
      </c>
      <c r="BB216" s="89" t="s">
        <v>359</v>
      </c>
      <c r="BC216" s="89" t="s">
        <v>359</v>
      </c>
      <c r="BD216" s="89" t="s">
        <v>359</v>
      </c>
      <c r="BE216" s="89" t="s">
        <v>359</v>
      </c>
      <c r="BF216" s="89" t="s">
        <v>359</v>
      </c>
      <c r="BG216" s="89" t="s">
        <v>359</v>
      </c>
      <c r="BH216" s="89" t="s">
        <v>766</v>
      </c>
      <c r="BI216" s="89"/>
      <c r="BJ216" s="89"/>
      <c r="BK216" t="s">
        <v>2105</v>
      </c>
      <c r="BL216" t="s">
        <v>2119</v>
      </c>
      <c r="BM216" s="89" t="s">
        <v>1318</v>
      </c>
      <c r="BN216" s="89" t="b">
        <v>0</v>
      </c>
    </row>
    <row r="217" spans="1:66">
      <c r="A217" s="83">
        <v>110723</v>
      </c>
      <c r="B217" s="83" t="s">
        <v>128</v>
      </c>
      <c r="C217" s="83" t="s">
        <v>95</v>
      </c>
      <c r="D217" s="83" t="s">
        <v>2045</v>
      </c>
      <c r="E217" t="s">
        <v>2046</v>
      </c>
      <c r="F217" t="s">
        <v>2047</v>
      </c>
      <c r="G217" t="s">
        <v>2047</v>
      </c>
      <c r="H217" s="83" t="s">
        <v>2048</v>
      </c>
      <c r="I217" s="83" t="s">
        <v>2048</v>
      </c>
      <c r="J217" s="83" t="s">
        <v>2049</v>
      </c>
      <c r="K217" s="83" t="s">
        <v>370</v>
      </c>
      <c r="L217" s="83">
        <v>32.9</v>
      </c>
      <c r="M217" s="83" t="s">
        <v>353</v>
      </c>
      <c r="N217" s="83" t="s">
        <v>419</v>
      </c>
      <c r="O217">
        <v>32.9</v>
      </c>
      <c r="P217" t="s">
        <v>353</v>
      </c>
      <c r="Q217" t="s">
        <v>2292</v>
      </c>
      <c r="R217" s="83" t="s">
        <v>371</v>
      </c>
      <c r="S217" s="83"/>
      <c r="T217" s="83"/>
      <c r="U217" s="84"/>
      <c r="V217" s="84"/>
      <c r="W217" s="84"/>
      <c r="X217" s="83"/>
      <c r="Y217" s="83"/>
      <c r="Z217" s="83"/>
      <c r="AA217" s="83"/>
      <c r="AB217" s="84"/>
      <c r="AC217" s="84"/>
      <c r="AD217" s="83"/>
      <c r="AE217" s="83"/>
      <c r="AF217">
        <v>4</v>
      </c>
      <c r="AG217">
        <v>27</v>
      </c>
      <c r="AH217">
        <v>0</v>
      </c>
      <c r="AI217">
        <v>110</v>
      </c>
      <c r="AJ217">
        <v>0</v>
      </c>
      <c r="AK217">
        <v>0</v>
      </c>
      <c r="AL217">
        <v>2</v>
      </c>
      <c r="AM217">
        <v>0</v>
      </c>
      <c r="AN217">
        <v>17</v>
      </c>
      <c r="AO217">
        <v>0</v>
      </c>
      <c r="AP217">
        <v>0</v>
      </c>
      <c r="AQ217">
        <v>23</v>
      </c>
      <c r="AR217">
        <v>22</v>
      </c>
      <c r="AS217">
        <v>0</v>
      </c>
      <c r="AT217">
        <v>0</v>
      </c>
      <c r="AV217" s="83">
        <v>300</v>
      </c>
      <c r="AW217" s="83" t="s">
        <v>372</v>
      </c>
      <c r="AX217" s="83"/>
      <c r="AY217" s="83"/>
      <c r="AZ217" s="83"/>
      <c r="BA217" s="83"/>
      <c r="BB217" s="83"/>
      <c r="BC217" s="83"/>
      <c r="BD217" s="83"/>
      <c r="BE217" s="83"/>
      <c r="BF217" s="83"/>
      <c r="BG217" s="83"/>
      <c r="BH217" s="83" t="s">
        <v>804</v>
      </c>
      <c r="BI217" s="83"/>
      <c r="BJ217" s="83"/>
      <c r="BK217" s="88">
        <v>44823.241273148153</v>
      </c>
      <c r="BL217" s="88">
        <v>44565.590729166674</v>
      </c>
      <c r="BM217" s="83" t="s">
        <v>2050</v>
      </c>
      <c r="BN217" t="b">
        <v>1</v>
      </c>
    </row>
    <row r="218" spans="1:66">
      <c r="A218" s="73">
        <v>110723</v>
      </c>
      <c r="B218" s="82" t="s">
        <v>128</v>
      </c>
      <c r="C218" s="82" t="s">
        <v>95</v>
      </c>
      <c r="D218" s="82" t="s">
        <v>1319</v>
      </c>
      <c r="E218" s="83" t="s">
        <v>814</v>
      </c>
      <c r="F218" s="82" t="s">
        <v>814</v>
      </c>
      <c r="G218" s="82" t="s">
        <v>814</v>
      </c>
      <c r="H218" s="82" t="s">
        <v>1320</v>
      </c>
      <c r="I218" s="82" t="s">
        <v>1320</v>
      </c>
      <c r="J218" s="82" t="s">
        <v>803</v>
      </c>
      <c r="K218" s="82" t="s">
        <v>370</v>
      </c>
      <c r="L218" s="82">
        <v>33</v>
      </c>
      <c r="M218" s="82" t="s">
        <v>353</v>
      </c>
      <c r="N218" s="82" t="s">
        <v>419</v>
      </c>
      <c r="O218" s="82">
        <v>100</v>
      </c>
      <c r="P218" s="82" t="s">
        <v>353</v>
      </c>
      <c r="Q218" s="82" t="s">
        <v>1321</v>
      </c>
      <c r="R218" s="82" t="s">
        <v>371</v>
      </c>
      <c r="S218" s="82"/>
      <c r="T218" s="82"/>
      <c r="U218" s="82"/>
      <c r="V218" s="82"/>
      <c r="W218" s="82"/>
      <c r="X218" s="82"/>
      <c r="Y218" s="82"/>
      <c r="Z218" s="82"/>
      <c r="AA218" s="82"/>
      <c r="AB218" s="82"/>
      <c r="AC218" s="82"/>
      <c r="AD218" s="82"/>
      <c r="AE218" s="82"/>
      <c r="AF218" s="82">
        <v>4.95</v>
      </c>
      <c r="AG218" s="82">
        <v>27.72</v>
      </c>
      <c r="AH218" s="82">
        <v>0</v>
      </c>
      <c r="AI218" s="82">
        <v>115.83</v>
      </c>
      <c r="AJ218" s="82">
        <v>0</v>
      </c>
      <c r="AK218" s="82">
        <v>0</v>
      </c>
      <c r="AL218" s="82">
        <v>1.98</v>
      </c>
      <c r="AM218" s="82">
        <v>9.9000000000000005E-2</v>
      </c>
      <c r="AN218" s="82">
        <v>20.79</v>
      </c>
      <c r="AO218" s="82">
        <v>0</v>
      </c>
      <c r="AP218" s="82">
        <v>3.63</v>
      </c>
      <c r="AQ218" s="82">
        <v>22.11</v>
      </c>
      <c r="AR218" s="82">
        <v>21.78</v>
      </c>
      <c r="AS218" s="82">
        <v>0</v>
      </c>
      <c r="AT218" s="82">
        <v>0.15</v>
      </c>
      <c r="AU218" s="82"/>
      <c r="AV218" s="82">
        <f>1*(300)</f>
        <v>300</v>
      </c>
      <c r="AW218" s="82" t="s">
        <v>372</v>
      </c>
      <c r="AX218" s="82" t="b">
        <v>1</v>
      </c>
      <c r="AY218" s="82"/>
      <c r="AZ218" s="82"/>
      <c r="BA218" s="82"/>
      <c r="BB218" s="82"/>
      <c r="BC218" s="82"/>
      <c r="BD218" s="82"/>
      <c r="BE218" s="82"/>
      <c r="BF218" s="82"/>
      <c r="BG218" s="82"/>
      <c r="BH218" s="82"/>
      <c r="BI218" s="82"/>
      <c r="BJ218" s="82"/>
      <c r="BK218" s="74">
        <v>45352.385567129633</v>
      </c>
      <c r="BL218" s="74">
        <v>45351.706747685188</v>
      </c>
      <c r="BM218" s="82" t="s">
        <v>1322</v>
      </c>
      <c r="BN218" s="82" t="b">
        <v>1</v>
      </c>
    </row>
    <row r="219" spans="1:66">
      <c r="A219" s="100">
        <v>110724</v>
      </c>
      <c r="B219" s="89" t="s">
        <v>236</v>
      </c>
      <c r="C219" s="89" t="s">
        <v>209</v>
      </c>
      <c r="D219" s="89" t="s">
        <v>1323</v>
      </c>
      <c r="E219" t="s">
        <v>1980</v>
      </c>
      <c r="F219" t="s">
        <v>1916</v>
      </c>
      <c r="G219" s="89" t="s">
        <v>762</v>
      </c>
      <c r="H219" s="89" t="s">
        <v>969</v>
      </c>
      <c r="I219" s="89" t="s">
        <v>1324</v>
      </c>
      <c r="J219" s="89" t="s">
        <v>969</v>
      </c>
      <c r="K219" s="89"/>
      <c r="L219" s="104">
        <v>56</v>
      </c>
      <c r="M219" s="89" t="s">
        <v>353</v>
      </c>
      <c r="N219" s="89" t="s">
        <v>354</v>
      </c>
      <c r="O219" s="104">
        <v>56</v>
      </c>
      <c r="P219" s="89" t="s">
        <v>353</v>
      </c>
      <c r="Q219" s="89" t="s">
        <v>630</v>
      </c>
      <c r="R219" s="89" t="s">
        <v>564</v>
      </c>
      <c r="S219" s="89"/>
      <c r="T219" s="89"/>
      <c r="U219" s="93"/>
      <c r="V219" s="93"/>
      <c r="W219" s="93"/>
      <c r="X219" s="89"/>
      <c r="Y219" s="89"/>
      <c r="Z219" s="89"/>
      <c r="AA219" s="89"/>
      <c r="AB219" s="93"/>
      <c r="AC219" s="93"/>
      <c r="AD219" s="89"/>
      <c r="AE219" s="89"/>
      <c r="AF219" s="89">
        <v>12</v>
      </c>
      <c r="AG219" s="89">
        <v>6</v>
      </c>
      <c r="AH219" s="89">
        <v>0</v>
      </c>
      <c r="AI219" s="89">
        <v>25</v>
      </c>
      <c r="AJ219" s="89">
        <v>0</v>
      </c>
      <c r="AK219" s="89">
        <v>0</v>
      </c>
      <c r="AL219" s="89">
        <v>0.7</v>
      </c>
      <c r="AM219" s="89">
        <v>0.1</v>
      </c>
      <c r="AN219" s="89">
        <v>90</v>
      </c>
      <c r="AO219" s="89">
        <v>1</v>
      </c>
      <c r="AP219" s="89">
        <v>1.6</v>
      </c>
      <c r="AQ219" s="89">
        <v>3</v>
      </c>
      <c r="AR219" s="89">
        <v>0</v>
      </c>
      <c r="AS219" s="89">
        <v>0.1</v>
      </c>
      <c r="AT219" s="89">
        <v>0</v>
      </c>
      <c r="AU219" s="89"/>
      <c r="AV219" s="104" t="s">
        <v>1325</v>
      </c>
      <c r="AW219" s="89" t="s">
        <v>372</v>
      </c>
      <c r="AX219" s="106" t="s">
        <v>373</v>
      </c>
      <c r="AY219" s="89" t="s">
        <v>359</v>
      </c>
      <c r="AZ219" s="89" t="s">
        <v>359</v>
      </c>
      <c r="BA219" s="89" t="s">
        <v>359</v>
      </c>
      <c r="BB219" s="89" t="s">
        <v>359</v>
      </c>
      <c r="BC219" s="89" t="s">
        <v>359</v>
      </c>
      <c r="BD219" s="89" t="s">
        <v>359</v>
      </c>
      <c r="BE219" s="89" t="s">
        <v>359</v>
      </c>
      <c r="BF219" s="89" t="s">
        <v>359</v>
      </c>
      <c r="BG219" s="89" t="s">
        <v>359</v>
      </c>
      <c r="BH219" s="89" t="s">
        <v>766</v>
      </c>
      <c r="BI219" s="89"/>
      <c r="BJ219" s="89"/>
      <c r="BK219" t="s">
        <v>2105</v>
      </c>
      <c r="BL219" t="s">
        <v>2119</v>
      </c>
      <c r="BM219" s="89" t="s">
        <v>1326</v>
      </c>
      <c r="BN219" s="89" t="b">
        <v>0</v>
      </c>
    </row>
    <row r="220" spans="1:66">
      <c r="A220" s="85">
        <v>110730</v>
      </c>
      <c r="B220" s="83" t="s">
        <v>188</v>
      </c>
      <c r="C220" s="83" t="s">
        <v>180</v>
      </c>
      <c r="D220" s="86" t="s">
        <v>1327</v>
      </c>
      <c r="E220" s="89" t="s">
        <v>559</v>
      </c>
      <c r="F220" s="83" t="s">
        <v>561</v>
      </c>
      <c r="G220" s="83" t="s">
        <v>561</v>
      </c>
      <c r="H220" s="83" t="s">
        <v>1328</v>
      </c>
      <c r="I220" s="83" t="s">
        <v>1328</v>
      </c>
      <c r="J220" s="83" t="s">
        <v>1328</v>
      </c>
      <c r="K220" s="83" t="s">
        <v>370</v>
      </c>
      <c r="L220" s="82">
        <v>96.955399999999997</v>
      </c>
      <c r="M220" s="82" t="s">
        <v>353</v>
      </c>
      <c r="N220" s="82" t="s">
        <v>354</v>
      </c>
      <c r="O220" s="82">
        <v>96.955399999999997</v>
      </c>
      <c r="P220" s="82" t="s">
        <v>353</v>
      </c>
      <c r="Q220" s="83" t="s">
        <v>1329</v>
      </c>
      <c r="R220" s="83" t="s">
        <v>564</v>
      </c>
      <c r="S220" s="83"/>
      <c r="T220" s="83"/>
      <c r="U220" s="83"/>
      <c r="V220" s="83"/>
      <c r="W220" s="83"/>
      <c r="X220" s="83"/>
      <c r="Y220" s="82"/>
      <c r="Z220" s="83"/>
      <c r="AA220" s="83"/>
      <c r="AB220" s="83"/>
      <c r="AC220" s="83"/>
      <c r="AD220" s="83"/>
      <c r="AE220" s="83"/>
      <c r="AF220" s="83">
        <v>6</v>
      </c>
      <c r="AG220" s="83">
        <v>1</v>
      </c>
      <c r="AH220" s="83">
        <v>55</v>
      </c>
      <c r="AI220" s="83">
        <v>150</v>
      </c>
      <c r="AJ220" s="83">
        <v>3.5</v>
      </c>
      <c r="AK220" s="83">
        <v>0</v>
      </c>
      <c r="AL220" s="83">
        <v>0</v>
      </c>
      <c r="AM220" s="83">
        <v>2</v>
      </c>
      <c r="AN220" s="83">
        <v>398</v>
      </c>
      <c r="AO220" s="83">
        <v>18</v>
      </c>
      <c r="AP220" s="83">
        <v>320</v>
      </c>
      <c r="AQ220" s="83">
        <v>1</v>
      </c>
      <c r="AR220" s="83">
        <v>1</v>
      </c>
      <c r="AS220" s="83">
        <v>8.6999999999999993</v>
      </c>
      <c r="AT220" s="83">
        <v>0</v>
      </c>
      <c r="AU220" s="83"/>
      <c r="AV220" s="83">
        <v>186</v>
      </c>
      <c r="AW220" s="83" t="s">
        <v>358</v>
      </c>
      <c r="AX220" s="83"/>
      <c r="AY220" s="82" t="s">
        <v>359</v>
      </c>
      <c r="AZ220" s="82" t="s">
        <v>359</v>
      </c>
      <c r="BA220" s="82" t="s">
        <v>359</v>
      </c>
      <c r="BB220" s="82" t="s">
        <v>359</v>
      </c>
      <c r="BC220" s="82" t="s">
        <v>359</v>
      </c>
      <c r="BD220" s="82" t="s">
        <v>359</v>
      </c>
      <c r="BE220" s="82" t="s">
        <v>359</v>
      </c>
      <c r="BF220" s="82" t="s">
        <v>359</v>
      </c>
      <c r="BG220" s="82" t="s">
        <v>359</v>
      </c>
      <c r="BH220" s="82" t="s">
        <v>1330</v>
      </c>
      <c r="BI220" s="83"/>
      <c r="BJ220" s="83"/>
      <c r="BK220" s="74">
        <v>45261.366851851853</v>
      </c>
      <c r="BL220" s="74">
        <v>45232.527800925927</v>
      </c>
      <c r="BM220" s="83" t="s">
        <v>1331</v>
      </c>
      <c r="BN220" s="83" t="b">
        <v>0</v>
      </c>
    </row>
    <row r="221" spans="1:66">
      <c r="A221" s="100">
        <v>110730</v>
      </c>
      <c r="B221" s="89" t="s">
        <v>188</v>
      </c>
      <c r="C221" s="89" t="s">
        <v>180</v>
      </c>
      <c r="D221" s="89" t="s">
        <v>1332</v>
      </c>
      <c r="E221" s="89" t="s">
        <v>1333</v>
      </c>
      <c r="F221" s="89" t="s">
        <v>1334</v>
      </c>
      <c r="G221" s="89" t="s">
        <v>1335</v>
      </c>
      <c r="H221" s="89" t="s">
        <v>1336</v>
      </c>
      <c r="I221" s="89" t="s">
        <v>1337</v>
      </c>
      <c r="J221" s="89" t="s">
        <v>1338</v>
      </c>
      <c r="K221" s="89"/>
      <c r="L221" s="89">
        <v>84</v>
      </c>
      <c r="M221" s="89" t="s">
        <v>353</v>
      </c>
      <c r="N221" s="89" t="s">
        <v>354</v>
      </c>
      <c r="O221" s="89">
        <v>84</v>
      </c>
      <c r="P221" s="89" t="s">
        <v>353</v>
      </c>
      <c r="Q221" s="89" t="s">
        <v>473</v>
      </c>
      <c r="R221" s="89" t="s">
        <v>474</v>
      </c>
      <c r="S221" s="89" t="s">
        <v>1339</v>
      </c>
      <c r="T221" s="89"/>
      <c r="U221" s="93"/>
      <c r="V221" s="93"/>
      <c r="W221" s="93"/>
      <c r="X221" s="89"/>
      <c r="Y221" s="103" t="s">
        <v>1340</v>
      </c>
      <c r="Z221" s="89"/>
      <c r="AA221" s="89"/>
      <c r="AB221" s="93"/>
      <c r="AC221" s="93"/>
      <c r="AD221" s="89"/>
      <c r="AE221" s="89"/>
      <c r="AF221" s="89"/>
      <c r="AG221" s="89">
        <v>0</v>
      </c>
      <c r="AH221" s="89">
        <v>50</v>
      </c>
      <c r="AI221" s="89">
        <v>120</v>
      </c>
      <c r="AJ221" s="89">
        <v>2.5</v>
      </c>
      <c r="AK221" s="89">
        <v>0</v>
      </c>
      <c r="AL221" s="89"/>
      <c r="AM221" s="89"/>
      <c r="AN221" s="89"/>
      <c r="AO221" s="89">
        <v>14</v>
      </c>
      <c r="AP221" s="89">
        <v>350</v>
      </c>
      <c r="AQ221" s="89">
        <v>0</v>
      </c>
      <c r="AR221" s="89"/>
      <c r="AS221" s="89">
        <v>7</v>
      </c>
      <c r="AT221" s="89"/>
      <c r="AU221" s="89" t="s">
        <v>510</v>
      </c>
      <c r="AV221" s="89">
        <v>213</v>
      </c>
      <c r="AW221" s="89" t="s">
        <v>358</v>
      </c>
      <c r="AX221" s="89"/>
      <c r="AY221" s="89" t="s">
        <v>359</v>
      </c>
      <c r="AZ221" s="89" t="s">
        <v>359</v>
      </c>
      <c r="BA221" s="89" t="s">
        <v>359</v>
      </c>
      <c r="BB221" s="89" t="s">
        <v>359</v>
      </c>
      <c r="BC221" s="89" t="s">
        <v>359</v>
      </c>
      <c r="BD221" s="89" t="s">
        <v>359</v>
      </c>
      <c r="BE221" s="89" t="s">
        <v>360</v>
      </c>
      <c r="BF221" s="89" t="s">
        <v>359</v>
      </c>
      <c r="BG221" s="89" t="s">
        <v>360</v>
      </c>
      <c r="BH221" s="89" t="s">
        <v>1309</v>
      </c>
      <c r="BI221" s="89"/>
      <c r="BJ221" s="89"/>
      <c r="BK221" s="74">
        <v>45112.572129629632</v>
      </c>
      <c r="BL221" s="74">
        <v>45107.393750000003</v>
      </c>
      <c r="BM221" s="89" t="s">
        <v>1341</v>
      </c>
      <c r="BN221" s="89" t="b">
        <v>0</v>
      </c>
    </row>
    <row r="222" spans="1:66">
      <c r="A222" s="100">
        <v>110763</v>
      </c>
      <c r="B222" s="89" t="s">
        <v>221</v>
      </c>
      <c r="C222" s="89" t="s">
        <v>209</v>
      </c>
      <c r="D222" s="89" t="s">
        <v>1342</v>
      </c>
      <c r="E222" s="89" t="s">
        <v>963</v>
      </c>
      <c r="F222" s="89" t="s">
        <v>829</v>
      </c>
      <c r="G222" s="89" t="s">
        <v>829</v>
      </c>
      <c r="H222" s="89" t="s">
        <v>1343</v>
      </c>
      <c r="I222" s="89" t="s">
        <v>981</v>
      </c>
      <c r="J222" s="89" t="s">
        <v>981</v>
      </c>
      <c r="K222" s="89" t="s">
        <v>370</v>
      </c>
      <c r="L222" s="89">
        <v>85</v>
      </c>
      <c r="M222" s="89" t="s">
        <v>353</v>
      </c>
      <c r="N222" s="89" t="s">
        <v>354</v>
      </c>
      <c r="O222" s="89">
        <v>85</v>
      </c>
      <c r="P222" s="89" t="s">
        <v>353</v>
      </c>
      <c r="Q222" s="89" t="s">
        <v>885</v>
      </c>
      <c r="R222" s="89" t="s">
        <v>966</v>
      </c>
      <c r="S222" s="89"/>
      <c r="T222" s="89"/>
      <c r="U222" s="93"/>
      <c r="V222" s="93"/>
      <c r="W222" s="93"/>
      <c r="X222" s="89"/>
      <c r="Y222" s="89"/>
      <c r="Z222" s="89"/>
      <c r="AA222" s="89"/>
      <c r="AB222" s="93"/>
      <c r="AC222" s="93"/>
      <c r="AD222" s="89"/>
      <c r="AE222" s="89"/>
      <c r="AF222" s="89">
        <v>20</v>
      </c>
      <c r="AG222" s="89">
        <v>12</v>
      </c>
      <c r="AH222" s="89">
        <v>0</v>
      </c>
      <c r="AI222" s="89">
        <v>70</v>
      </c>
      <c r="AJ222" s="89">
        <v>0</v>
      </c>
      <c r="AK222" s="89">
        <v>0</v>
      </c>
      <c r="AL222" s="89">
        <v>4</v>
      </c>
      <c r="AM222" s="89">
        <v>1.3</v>
      </c>
      <c r="AN222" s="89">
        <v>130</v>
      </c>
      <c r="AO222" s="89">
        <v>4</v>
      </c>
      <c r="AP222" s="89">
        <v>90</v>
      </c>
      <c r="AQ222" s="89">
        <v>4</v>
      </c>
      <c r="AR222" s="89">
        <v>0</v>
      </c>
      <c r="AS222" s="89">
        <v>0</v>
      </c>
      <c r="AT222" s="89">
        <v>0</v>
      </c>
      <c r="AU222" s="89"/>
      <c r="AV222" s="100">
        <v>156</v>
      </c>
      <c r="AW222" s="89" t="s">
        <v>358</v>
      </c>
      <c r="AX222" s="89" t="s">
        <v>373</v>
      </c>
      <c r="AY222" s="89" t="s">
        <v>476</v>
      </c>
      <c r="AZ222" s="89" t="s">
        <v>476</v>
      </c>
      <c r="BA222" s="89" t="s">
        <v>476</v>
      </c>
      <c r="BB222" s="89" t="s">
        <v>476</v>
      </c>
      <c r="BC222" s="89" t="s">
        <v>476</v>
      </c>
      <c r="BD222" s="89" t="s">
        <v>476</v>
      </c>
      <c r="BE222" s="89" t="s">
        <v>476</v>
      </c>
      <c r="BF222" s="89" t="s">
        <v>476</v>
      </c>
      <c r="BG222" s="89" t="s">
        <v>476</v>
      </c>
      <c r="BH222" s="89" t="s">
        <v>1344</v>
      </c>
      <c r="BI222" s="89" t="s">
        <v>656</v>
      </c>
      <c r="BJ222" s="89"/>
      <c r="BK222" s="74">
        <v>45078.382488425923</v>
      </c>
      <c r="BL222" s="74">
        <v>45054.399201388893</v>
      </c>
      <c r="BM222" s="89" t="s">
        <v>984</v>
      </c>
      <c r="BN222" s="89" t="b">
        <v>0</v>
      </c>
    </row>
    <row r="223" spans="1:66">
      <c r="A223" s="100">
        <v>110763</v>
      </c>
      <c r="B223" s="89" t="s">
        <v>221</v>
      </c>
      <c r="C223" s="89" t="s">
        <v>209</v>
      </c>
      <c r="D223" s="89" t="s">
        <v>1345</v>
      </c>
      <c r="E223" t="s">
        <v>2124</v>
      </c>
      <c r="F223" t="s">
        <v>1916</v>
      </c>
      <c r="G223" s="89" t="s">
        <v>762</v>
      </c>
      <c r="H223" s="89" t="s">
        <v>969</v>
      </c>
      <c r="I223" s="89" t="s">
        <v>984</v>
      </c>
      <c r="J223" s="89" t="s">
        <v>969</v>
      </c>
      <c r="K223" s="89"/>
      <c r="L223" s="104">
        <v>67</v>
      </c>
      <c r="M223" s="89" t="s">
        <v>353</v>
      </c>
      <c r="N223" s="89" t="s">
        <v>354</v>
      </c>
      <c r="O223" s="104">
        <v>67</v>
      </c>
      <c r="P223" s="89" t="s">
        <v>353</v>
      </c>
      <c r="Q223" s="89" t="s">
        <v>630</v>
      </c>
      <c r="R223" s="89" t="s">
        <v>564</v>
      </c>
      <c r="S223" s="89"/>
      <c r="T223" s="89"/>
      <c r="U223" s="93"/>
      <c r="V223" s="93"/>
      <c r="W223" s="93"/>
      <c r="X223" s="89"/>
      <c r="Y223" s="89"/>
      <c r="Z223" s="89"/>
      <c r="AA223" s="89"/>
      <c r="AB223" s="93"/>
      <c r="AC223" s="93"/>
      <c r="AD223" s="89"/>
      <c r="AE223" s="89"/>
      <c r="AF223" s="89">
        <v>15</v>
      </c>
      <c r="AG223" s="89">
        <v>9</v>
      </c>
      <c r="AH223" s="89">
        <v>0</v>
      </c>
      <c r="AI223" s="89">
        <v>50</v>
      </c>
      <c r="AJ223" s="89">
        <v>0</v>
      </c>
      <c r="AK223" s="89">
        <v>0</v>
      </c>
      <c r="AL223" s="89">
        <v>3</v>
      </c>
      <c r="AM223" s="89">
        <v>1</v>
      </c>
      <c r="AN223" s="89">
        <v>102</v>
      </c>
      <c r="AO223" s="89">
        <v>3</v>
      </c>
      <c r="AP223" s="89">
        <v>70</v>
      </c>
      <c r="AQ223" s="89">
        <v>3</v>
      </c>
      <c r="AR223" s="89">
        <v>0</v>
      </c>
      <c r="AS223" s="89">
        <v>0.2</v>
      </c>
      <c r="AT223" s="89">
        <v>0</v>
      </c>
      <c r="AU223" s="89"/>
      <c r="AV223" s="104">
        <f>16*12</f>
        <v>192</v>
      </c>
      <c r="AW223" s="89" t="s">
        <v>372</v>
      </c>
      <c r="AX223" s="106" t="s">
        <v>373</v>
      </c>
      <c r="AY223" s="89" t="s">
        <v>359</v>
      </c>
      <c r="AZ223" s="89" t="s">
        <v>359</v>
      </c>
      <c r="BA223" s="89" t="s">
        <v>359</v>
      </c>
      <c r="BB223" s="89" t="s">
        <v>359</v>
      </c>
      <c r="BC223" s="89" t="s">
        <v>359</v>
      </c>
      <c r="BD223" s="89" t="s">
        <v>359</v>
      </c>
      <c r="BE223" s="89" t="s">
        <v>359</v>
      </c>
      <c r="BF223" s="89" t="s">
        <v>359</v>
      </c>
      <c r="BG223" s="89" t="s">
        <v>359</v>
      </c>
      <c r="BH223" s="89" t="s">
        <v>766</v>
      </c>
      <c r="BI223" s="89"/>
      <c r="BJ223" s="89"/>
      <c r="BK223" t="s">
        <v>2105</v>
      </c>
      <c r="BL223" t="s">
        <v>2128</v>
      </c>
      <c r="BM223" s="89" t="s">
        <v>984</v>
      </c>
      <c r="BN223" s="89" t="b">
        <v>0</v>
      </c>
    </row>
    <row r="224" spans="1:66">
      <c r="A224">
        <v>110763</v>
      </c>
      <c r="B224" t="s">
        <v>221</v>
      </c>
      <c r="C224" t="s">
        <v>209</v>
      </c>
      <c r="D224" t="s">
        <v>2330</v>
      </c>
      <c r="E224" t="s">
        <v>2303</v>
      </c>
      <c r="F224" t="s">
        <v>2331</v>
      </c>
      <c r="G224" t="s">
        <v>762</v>
      </c>
      <c r="H224" t="s">
        <v>969</v>
      </c>
      <c r="I224" t="s">
        <v>984</v>
      </c>
      <c r="J224" t="s">
        <v>969</v>
      </c>
      <c r="L224">
        <v>67</v>
      </c>
      <c r="M224" t="s">
        <v>353</v>
      </c>
      <c r="N224" t="s">
        <v>354</v>
      </c>
      <c r="O224">
        <v>67</v>
      </c>
      <c r="P224" t="s">
        <v>353</v>
      </c>
      <c r="Q224" t="s">
        <v>758</v>
      </c>
      <c r="R224" t="s">
        <v>564</v>
      </c>
      <c r="U224"/>
      <c r="V224"/>
      <c r="W224"/>
      <c r="AB224"/>
      <c r="AC224"/>
      <c r="AF224">
        <v>10</v>
      </c>
      <c r="AG224">
        <v>9</v>
      </c>
      <c r="AH224">
        <v>0</v>
      </c>
      <c r="AI224">
        <v>50</v>
      </c>
      <c r="AJ224">
        <v>0</v>
      </c>
      <c r="AK224">
        <v>0</v>
      </c>
      <c r="AL224">
        <v>3</v>
      </c>
      <c r="AM224">
        <v>1</v>
      </c>
      <c r="AN224">
        <v>100</v>
      </c>
      <c r="AO224">
        <v>4</v>
      </c>
      <c r="AP224">
        <v>70</v>
      </c>
      <c r="AQ224">
        <v>3</v>
      </c>
      <c r="AR224">
        <v>0</v>
      </c>
      <c r="AS224">
        <v>0</v>
      </c>
      <c r="AT224">
        <v>0</v>
      </c>
      <c r="AV224">
        <f>16*12</f>
        <v>192</v>
      </c>
      <c r="AW224" t="s">
        <v>372</v>
      </c>
      <c r="AX224" t="b">
        <v>1</v>
      </c>
      <c r="AY224" t="s">
        <v>359</v>
      </c>
      <c r="AZ224" t="s">
        <v>359</v>
      </c>
      <c r="BA224" t="s">
        <v>359</v>
      </c>
      <c r="BB224" t="s">
        <v>359</v>
      </c>
      <c r="BC224" t="s">
        <v>359</v>
      </c>
      <c r="BD224" t="s">
        <v>359</v>
      </c>
      <c r="BE224" t="s">
        <v>359</v>
      </c>
      <c r="BF224" t="s">
        <v>359</v>
      </c>
      <c r="BG224" t="s">
        <v>359</v>
      </c>
      <c r="BH224" t="s">
        <v>2296</v>
      </c>
      <c r="BK224" t="s">
        <v>2297</v>
      </c>
      <c r="BL224" t="s">
        <v>2310</v>
      </c>
      <c r="BM224" t="s">
        <v>986</v>
      </c>
      <c r="BN224" t="b">
        <v>0</v>
      </c>
    </row>
    <row r="225" spans="1:66">
      <c r="A225">
        <v>110763</v>
      </c>
      <c r="B225" t="s">
        <v>221</v>
      </c>
      <c r="C225" t="s">
        <v>209</v>
      </c>
      <c r="D225" t="s">
        <v>2332</v>
      </c>
      <c r="E225" t="s">
        <v>2123</v>
      </c>
      <c r="F225" t="s">
        <v>762</v>
      </c>
      <c r="G225" t="s">
        <v>762</v>
      </c>
      <c r="H225" t="s">
        <v>969</v>
      </c>
      <c r="I225" t="s">
        <v>984</v>
      </c>
      <c r="J225" t="s">
        <v>969</v>
      </c>
      <c r="L225">
        <v>67</v>
      </c>
      <c r="M225" t="s">
        <v>353</v>
      </c>
      <c r="N225" t="s">
        <v>354</v>
      </c>
      <c r="O225">
        <v>67</v>
      </c>
      <c r="P225" t="s">
        <v>353</v>
      </c>
      <c r="Q225" t="s">
        <v>758</v>
      </c>
      <c r="R225" t="s">
        <v>564</v>
      </c>
      <c r="U225"/>
      <c r="V225"/>
      <c r="W225"/>
      <c r="AB225"/>
      <c r="AC225"/>
      <c r="AF225">
        <v>10</v>
      </c>
      <c r="AG225">
        <v>9</v>
      </c>
      <c r="AH225">
        <v>0</v>
      </c>
      <c r="AI225">
        <v>50</v>
      </c>
      <c r="AJ225">
        <v>0</v>
      </c>
      <c r="AK225">
        <v>0</v>
      </c>
      <c r="AL225">
        <v>3</v>
      </c>
      <c r="AM225">
        <v>1</v>
      </c>
      <c r="AN225">
        <v>100</v>
      </c>
      <c r="AO225">
        <v>4</v>
      </c>
      <c r="AP225">
        <v>70</v>
      </c>
      <c r="AQ225">
        <v>3</v>
      </c>
      <c r="AR225">
        <v>0</v>
      </c>
      <c r="AS225">
        <v>0</v>
      </c>
      <c r="AT225">
        <v>0</v>
      </c>
      <c r="AV225">
        <f>16*12</f>
        <v>192</v>
      </c>
      <c r="AW225" t="s">
        <v>372</v>
      </c>
      <c r="AX225" t="b">
        <v>1</v>
      </c>
      <c r="AY225" t="s">
        <v>359</v>
      </c>
      <c r="AZ225" t="s">
        <v>359</v>
      </c>
      <c r="BA225" t="s">
        <v>359</v>
      </c>
      <c r="BB225" t="s">
        <v>359</v>
      </c>
      <c r="BC225" t="s">
        <v>359</v>
      </c>
      <c r="BD225" t="s">
        <v>359</v>
      </c>
      <c r="BE225" t="s">
        <v>359</v>
      </c>
      <c r="BF225" t="s">
        <v>359</v>
      </c>
      <c r="BG225" t="s">
        <v>359</v>
      </c>
      <c r="BH225" t="s">
        <v>2333</v>
      </c>
      <c r="BK225" t="s">
        <v>2297</v>
      </c>
      <c r="BL225" t="s">
        <v>2310</v>
      </c>
      <c r="BM225" t="s">
        <v>986</v>
      </c>
      <c r="BN225" t="b">
        <v>0</v>
      </c>
    </row>
    <row r="226" spans="1:66">
      <c r="A226">
        <v>110763</v>
      </c>
      <c r="B226" t="s">
        <v>221</v>
      </c>
      <c r="C226" t="s">
        <v>209</v>
      </c>
      <c r="D226" t="s">
        <v>2334</v>
      </c>
      <c r="E226" t="s">
        <v>2295</v>
      </c>
      <c r="F226" t="s">
        <v>762</v>
      </c>
      <c r="G226" t="s">
        <v>762</v>
      </c>
      <c r="H226" t="s">
        <v>969</v>
      </c>
      <c r="I226" t="s">
        <v>984</v>
      </c>
      <c r="J226" t="s">
        <v>969</v>
      </c>
      <c r="L226">
        <v>67</v>
      </c>
      <c r="M226" t="s">
        <v>353</v>
      </c>
      <c r="N226" t="s">
        <v>354</v>
      </c>
      <c r="O226">
        <v>67</v>
      </c>
      <c r="P226" t="s">
        <v>353</v>
      </c>
      <c r="Q226" t="s">
        <v>758</v>
      </c>
      <c r="R226" t="s">
        <v>564</v>
      </c>
      <c r="U226"/>
      <c r="V226"/>
      <c r="W226"/>
      <c r="AB226"/>
      <c r="AC226"/>
      <c r="AF226">
        <v>10</v>
      </c>
      <c r="AG226">
        <v>9</v>
      </c>
      <c r="AH226">
        <v>0</v>
      </c>
      <c r="AI226">
        <v>50</v>
      </c>
      <c r="AJ226">
        <v>0</v>
      </c>
      <c r="AK226">
        <v>0</v>
      </c>
      <c r="AL226">
        <v>3</v>
      </c>
      <c r="AM226">
        <v>1</v>
      </c>
      <c r="AN226">
        <v>100</v>
      </c>
      <c r="AO226">
        <v>4</v>
      </c>
      <c r="AP226">
        <v>70</v>
      </c>
      <c r="AQ226">
        <v>3</v>
      </c>
      <c r="AR226">
        <v>0</v>
      </c>
      <c r="AS226">
        <v>0</v>
      </c>
      <c r="AT226">
        <v>0</v>
      </c>
      <c r="AV226">
        <f>16*12</f>
        <v>192</v>
      </c>
      <c r="AW226" t="s">
        <v>372</v>
      </c>
      <c r="AX226" t="b">
        <v>1</v>
      </c>
      <c r="AY226" t="s">
        <v>359</v>
      </c>
      <c r="AZ226" t="s">
        <v>359</v>
      </c>
      <c r="BA226" t="s">
        <v>359</v>
      </c>
      <c r="BB226" t="s">
        <v>359</v>
      </c>
      <c r="BC226" t="s">
        <v>359</v>
      </c>
      <c r="BD226" t="s">
        <v>359</v>
      </c>
      <c r="BE226" t="s">
        <v>359</v>
      </c>
      <c r="BF226" t="s">
        <v>359</v>
      </c>
      <c r="BG226" t="s">
        <v>359</v>
      </c>
      <c r="BH226" t="s">
        <v>2335</v>
      </c>
      <c r="BK226" t="s">
        <v>2297</v>
      </c>
      <c r="BL226" t="s">
        <v>2310</v>
      </c>
      <c r="BM226" t="s">
        <v>986</v>
      </c>
      <c r="BN226" t="b">
        <v>0</v>
      </c>
    </row>
    <row r="227" spans="1:66">
      <c r="A227">
        <v>110763</v>
      </c>
      <c r="B227" t="s">
        <v>221</v>
      </c>
      <c r="C227" t="s">
        <v>209</v>
      </c>
      <c r="D227" t="s">
        <v>2336</v>
      </c>
      <c r="E227" t="s">
        <v>2300</v>
      </c>
      <c r="F227" t="s">
        <v>762</v>
      </c>
      <c r="G227" t="s">
        <v>762</v>
      </c>
      <c r="H227" t="s">
        <v>969</v>
      </c>
      <c r="I227" t="s">
        <v>984</v>
      </c>
      <c r="J227" t="s">
        <v>969</v>
      </c>
      <c r="L227">
        <v>67</v>
      </c>
      <c r="M227" t="s">
        <v>353</v>
      </c>
      <c r="N227" t="s">
        <v>354</v>
      </c>
      <c r="O227">
        <v>67</v>
      </c>
      <c r="P227" t="s">
        <v>353</v>
      </c>
      <c r="Q227" t="s">
        <v>758</v>
      </c>
      <c r="R227" t="s">
        <v>564</v>
      </c>
      <c r="U227"/>
      <c r="V227"/>
      <c r="W227"/>
      <c r="AB227"/>
      <c r="AC227"/>
      <c r="AF227">
        <v>10</v>
      </c>
      <c r="AG227">
        <v>9</v>
      </c>
      <c r="AH227">
        <v>0</v>
      </c>
      <c r="AI227">
        <v>50</v>
      </c>
      <c r="AJ227">
        <v>0</v>
      </c>
      <c r="AK227">
        <v>0</v>
      </c>
      <c r="AL227">
        <v>3</v>
      </c>
      <c r="AM227">
        <v>1</v>
      </c>
      <c r="AN227">
        <v>100</v>
      </c>
      <c r="AO227">
        <v>4</v>
      </c>
      <c r="AP227">
        <v>70</v>
      </c>
      <c r="AQ227">
        <v>3</v>
      </c>
      <c r="AR227">
        <v>0</v>
      </c>
      <c r="AS227">
        <v>0</v>
      </c>
      <c r="AT227">
        <v>0</v>
      </c>
      <c r="AV227">
        <f>16*12</f>
        <v>192</v>
      </c>
      <c r="AW227" t="s">
        <v>372</v>
      </c>
      <c r="AX227" t="b">
        <v>1</v>
      </c>
      <c r="AY227" t="s">
        <v>359</v>
      </c>
      <c r="AZ227" t="s">
        <v>359</v>
      </c>
      <c r="BA227" t="s">
        <v>359</v>
      </c>
      <c r="BB227" t="s">
        <v>359</v>
      </c>
      <c r="BC227" t="s">
        <v>359</v>
      </c>
      <c r="BD227" t="s">
        <v>359</v>
      </c>
      <c r="BE227" t="s">
        <v>359</v>
      </c>
      <c r="BF227" t="s">
        <v>359</v>
      </c>
      <c r="BG227" t="s">
        <v>359</v>
      </c>
      <c r="BH227" t="s">
        <v>2304</v>
      </c>
      <c r="BK227" t="s">
        <v>2297</v>
      </c>
      <c r="BL227" t="s">
        <v>2298</v>
      </c>
      <c r="BM227" t="s">
        <v>986</v>
      </c>
      <c r="BN227" t="b">
        <v>0</v>
      </c>
    </row>
    <row r="228" spans="1:66">
      <c r="A228" s="73">
        <v>110763</v>
      </c>
      <c r="B228" s="82" t="s">
        <v>221</v>
      </c>
      <c r="C228" s="82" t="s">
        <v>209</v>
      </c>
      <c r="D228" s="82" t="s">
        <v>1346</v>
      </c>
      <c r="E228" s="82" t="s">
        <v>544</v>
      </c>
      <c r="F228" s="82" t="s">
        <v>544</v>
      </c>
      <c r="G228" s="82" t="s">
        <v>544</v>
      </c>
      <c r="H228" s="82" t="s">
        <v>1347</v>
      </c>
      <c r="I228" s="82" t="s">
        <v>1348</v>
      </c>
      <c r="J228" s="82" t="s">
        <v>1349</v>
      </c>
      <c r="K228" s="82" t="s">
        <v>370</v>
      </c>
      <c r="L228" s="82">
        <v>89</v>
      </c>
      <c r="M228" s="82" t="s">
        <v>353</v>
      </c>
      <c r="N228" s="82" t="s">
        <v>354</v>
      </c>
      <c r="O228" s="82">
        <v>89</v>
      </c>
      <c r="P228" s="82" t="s">
        <v>353</v>
      </c>
      <c r="Q228" s="82" t="s">
        <v>885</v>
      </c>
      <c r="R228" s="82" t="s">
        <v>474</v>
      </c>
      <c r="S228" s="82"/>
      <c r="T228" s="82"/>
      <c r="U228" s="82"/>
      <c r="V228" s="82"/>
      <c r="W228" s="82"/>
      <c r="X228" s="82"/>
      <c r="Y228" s="82"/>
      <c r="Z228" s="82"/>
      <c r="AA228" s="82"/>
      <c r="AB228" s="82"/>
      <c r="AC228" s="82"/>
      <c r="AD228" s="82"/>
      <c r="AE228" s="82"/>
      <c r="AF228" s="82">
        <v>0</v>
      </c>
      <c r="AG228" s="82">
        <v>12</v>
      </c>
      <c r="AH228" s="82">
        <v>0</v>
      </c>
      <c r="AI228" s="82">
        <v>70</v>
      </c>
      <c r="AJ228" s="82">
        <v>0</v>
      </c>
      <c r="AK228" s="82">
        <v>0</v>
      </c>
      <c r="AL228" s="82">
        <v>4</v>
      </c>
      <c r="AM228" s="82">
        <v>1.1000000000000001</v>
      </c>
      <c r="AN228" s="82">
        <v>0</v>
      </c>
      <c r="AO228" s="82">
        <v>4</v>
      </c>
      <c r="AP228" s="82">
        <v>0</v>
      </c>
      <c r="AQ228" s="82">
        <v>4</v>
      </c>
      <c r="AR228" s="82">
        <v>0</v>
      </c>
      <c r="AS228" s="82">
        <v>0</v>
      </c>
      <c r="AT228" s="82">
        <v>0</v>
      </c>
      <c r="AU228" s="82"/>
      <c r="AV228" s="101">
        <f>13*12</f>
        <v>156</v>
      </c>
      <c r="AW228" s="82" t="s">
        <v>372</v>
      </c>
      <c r="AX228" s="107"/>
      <c r="AY228" s="82" t="s">
        <v>359</v>
      </c>
      <c r="AZ228" s="82" t="s">
        <v>359</v>
      </c>
      <c r="BA228" s="82" t="s">
        <v>359</v>
      </c>
      <c r="BB228" s="82" t="s">
        <v>359</v>
      </c>
      <c r="BC228" s="82" t="s">
        <v>359</v>
      </c>
      <c r="BD228" s="82" t="s">
        <v>359</v>
      </c>
      <c r="BE228" s="82" t="s">
        <v>359</v>
      </c>
      <c r="BF228" s="82" t="s">
        <v>359</v>
      </c>
      <c r="BG228" s="82" t="s">
        <v>359</v>
      </c>
      <c r="BH228" s="82" t="s">
        <v>852</v>
      </c>
      <c r="BI228" s="82"/>
      <c r="BJ228" s="82"/>
      <c r="BK228" s="82" t="s">
        <v>2008</v>
      </c>
      <c r="BL228" s="82" t="s">
        <v>2014</v>
      </c>
      <c r="BM228" s="82" t="s">
        <v>984</v>
      </c>
      <c r="BN228" s="82" t="b">
        <v>0</v>
      </c>
    </row>
    <row r="229" spans="1:66">
      <c r="A229" s="100">
        <v>110844</v>
      </c>
      <c r="B229" s="89" t="s">
        <v>237</v>
      </c>
      <c r="C229" s="89" t="s">
        <v>209</v>
      </c>
      <c r="D229" s="89" t="s">
        <v>1350</v>
      </c>
      <c r="E229" t="s">
        <v>1980</v>
      </c>
      <c r="F229" t="s">
        <v>1916</v>
      </c>
      <c r="G229" s="89" t="s">
        <v>762</v>
      </c>
      <c r="H229" s="89" t="s">
        <v>969</v>
      </c>
      <c r="I229" s="89" t="s">
        <v>1351</v>
      </c>
      <c r="J229" s="89" t="s">
        <v>969</v>
      </c>
      <c r="K229" s="89"/>
      <c r="L229" s="104">
        <v>64</v>
      </c>
      <c r="M229" s="89" t="s">
        <v>353</v>
      </c>
      <c r="N229" s="89" t="s">
        <v>354</v>
      </c>
      <c r="O229" s="104">
        <v>64</v>
      </c>
      <c r="P229" s="89" t="s">
        <v>353</v>
      </c>
      <c r="Q229" s="89" t="s">
        <v>630</v>
      </c>
      <c r="R229" s="89" t="s">
        <v>564</v>
      </c>
      <c r="S229" s="89"/>
      <c r="T229" s="89"/>
      <c r="U229" s="93"/>
      <c r="V229" s="93"/>
      <c r="W229" s="93"/>
      <c r="X229" s="89"/>
      <c r="Y229" s="89"/>
      <c r="Z229" s="89"/>
      <c r="AA229" s="89"/>
      <c r="AB229" s="93"/>
      <c r="AC229" s="93"/>
      <c r="AD229" s="89"/>
      <c r="AE229" s="89"/>
      <c r="AF229" s="89">
        <v>154</v>
      </c>
      <c r="AG229" s="89">
        <v>5</v>
      </c>
      <c r="AH229" s="89">
        <v>0</v>
      </c>
      <c r="AI229" s="89">
        <v>25</v>
      </c>
      <c r="AJ229" s="89">
        <v>0</v>
      </c>
      <c r="AK229" s="89">
        <v>0</v>
      </c>
      <c r="AL229" s="89">
        <v>2</v>
      </c>
      <c r="AM229" s="89">
        <v>0</v>
      </c>
      <c r="AN229" s="89">
        <v>113</v>
      </c>
      <c r="AO229" s="89">
        <v>0.3</v>
      </c>
      <c r="AP229" s="89">
        <v>0</v>
      </c>
      <c r="AQ229" s="89">
        <v>1</v>
      </c>
      <c r="AR229" s="89">
        <v>0</v>
      </c>
      <c r="AS229" s="89">
        <v>0</v>
      </c>
      <c r="AT229" s="89">
        <v>0</v>
      </c>
      <c r="AU229" s="89"/>
      <c r="AV229" s="104">
        <f>35*6</f>
        <v>210</v>
      </c>
      <c r="AW229" s="89" t="s">
        <v>358</v>
      </c>
      <c r="AX229" s="106" t="s">
        <v>373</v>
      </c>
      <c r="AY229" s="89" t="s">
        <v>359</v>
      </c>
      <c r="AZ229" s="89" t="s">
        <v>359</v>
      </c>
      <c r="BA229" s="89" t="s">
        <v>359</v>
      </c>
      <c r="BB229" s="89" t="s">
        <v>359</v>
      </c>
      <c r="BC229" s="89" t="s">
        <v>359</v>
      </c>
      <c r="BD229" s="89" t="s">
        <v>359</v>
      </c>
      <c r="BE229" s="89" t="s">
        <v>359</v>
      </c>
      <c r="BF229" s="89" t="s">
        <v>359</v>
      </c>
      <c r="BG229" s="89" t="s">
        <v>359</v>
      </c>
      <c r="BH229" s="89" t="s">
        <v>766</v>
      </c>
      <c r="BI229" s="89"/>
      <c r="BJ229" s="89"/>
      <c r="BK229" t="s">
        <v>2105</v>
      </c>
      <c r="BL229" t="s">
        <v>2125</v>
      </c>
      <c r="BM229" s="89" t="s">
        <v>1003</v>
      </c>
      <c r="BN229" s="89" t="b">
        <v>0</v>
      </c>
    </row>
    <row r="230" spans="1:66">
      <c r="A230" s="85">
        <v>110845</v>
      </c>
      <c r="B230" s="83" t="s">
        <v>86</v>
      </c>
      <c r="C230" s="83" t="s">
        <v>85</v>
      </c>
      <c r="D230" s="82" t="s">
        <v>1832</v>
      </c>
      <c r="E230" s="82" t="s">
        <v>1833</v>
      </c>
      <c r="F230" s="82" t="s">
        <v>1834</v>
      </c>
      <c r="G230" s="82" t="s">
        <v>1834</v>
      </c>
      <c r="H230" s="82" t="s">
        <v>1835</v>
      </c>
      <c r="I230" s="82" t="s">
        <v>1836</v>
      </c>
      <c r="J230" s="82" t="s">
        <v>1837</v>
      </c>
      <c r="K230" s="82"/>
      <c r="L230" s="82">
        <v>47</v>
      </c>
      <c r="M230" s="82" t="s">
        <v>353</v>
      </c>
      <c r="N230" s="82" t="s">
        <v>354</v>
      </c>
      <c r="O230" s="82">
        <v>47</v>
      </c>
      <c r="P230" s="82" t="s">
        <v>353</v>
      </c>
      <c r="Q230" s="82" t="s">
        <v>461</v>
      </c>
      <c r="R230" s="82" t="s">
        <v>474</v>
      </c>
      <c r="S230" s="82"/>
      <c r="T230" s="82"/>
      <c r="U230" s="82"/>
      <c r="V230" s="82"/>
      <c r="W230" s="82"/>
      <c r="X230" s="82"/>
      <c r="Y230" s="82"/>
      <c r="Z230" s="82"/>
      <c r="AA230" s="82"/>
      <c r="AB230" s="82"/>
      <c r="AC230" s="82"/>
      <c r="AD230" s="82"/>
      <c r="AE230" s="82"/>
      <c r="AF230" s="82">
        <v>29</v>
      </c>
      <c r="AG230" s="82">
        <v>0</v>
      </c>
      <c r="AH230" s="82">
        <v>175</v>
      </c>
      <c r="AI230" s="82">
        <v>70</v>
      </c>
      <c r="AJ230" s="82">
        <v>1.5</v>
      </c>
      <c r="AK230" s="82">
        <v>0</v>
      </c>
      <c r="AL230" s="82">
        <v>0</v>
      </c>
      <c r="AM230" s="82">
        <v>0.81</v>
      </c>
      <c r="AN230" s="82">
        <v>135</v>
      </c>
      <c r="AO230" s="82">
        <v>6</v>
      </c>
      <c r="AP230" s="82">
        <v>65</v>
      </c>
      <c r="AQ230" s="82">
        <v>0</v>
      </c>
      <c r="AR230" s="82">
        <v>0</v>
      </c>
      <c r="AS230" s="82">
        <v>7.5</v>
      </c>
      <c r="AT230" s="82">
        <v>1.22</v>
      </c>
      <c r="AU230" s="82" t="s">
        <v>357</v>
      </c>
      <c r="AV230" s="82">
        <f>19*12</f>
        <v>228</v>
      </c>
      <c r="AW230" s="82" t="s">
        <v>358</v>
      </c>
      <c r="AX230" s="82"/>
      <c r="AY230" s="82" t="s">
        <v>360</v>
      </c>
      <c r="AZ230" s="82" t="s">
        <v>359</v>
      </c>
      <c r="BA230" s="82" t="s">
        <v>359</v>
      </c>
      <c r="BB230" s="82" t="s">
        <v>359</v>
      </c>
      <c r="BC230" s="82" t="s">
        <v>359</v>
      </c>
      <c r="BD230" s="82" t="s">
        <v>359</v>
      </c>
      <c r="BE230" s="82" t="s">
        <v>359</v>
      </c>
      <c r="BF230" s="82" t="s">
        <v>359</v>
      </c>
      <c r="BG230" s="82" t="s">
        <v>359</v>
      </c>
      <c r="BH230" s="82" t="s">
        <v>361</v>
      </c>
      <c r="BI230" s="82" t="s">
        <v>656</v>
      </c>
      <c r="BJ230" s="82"/>
      <c r="BK230" s="74">
        <v>45383.426412037043</v>
      </c>
      <c r="BL230" s="74">
        <v>45365.543055555558</v>
      </c>
      <c r="BM230" s="82" t="s">
        <v>1838</v>
      </c>
      <c r="BN230" s="82" t="b">
        <v>0</v>
      </c>
    </row>
    <row r="231" spans="1:66">
      <c r="A231" s="100">
        <v>110845</v>
      </c>
      <c r="B231" s="89" t="s">
        <v>86</v>
      </c>
      <c r="C231" s="89" t="s">
        <v>85</v>
      </c>
      <c r="D231" s="89" t="s">
        <v>1352</v>
      </c>
      <c r="E231" s="89" t="s">
        <v>457</v>
      </c>
      <c r="F231" s="89" t="s">
        <v>458</v>
      </c>
      <c r="G231" s="89" t="s">
        <v>458</v>
      </c>
      <c r="H231" s="89" t="s">
        <v>1353</v>
      </c>
      <c r="I231" s="89" t="s">
        <v>1354</v>
      </c>
      <c r="J231" s="89" t="s">
        <v>333</v>
      </c>
      <c r="K231" s="89" t="s">
        <v>370</v>
      </c>
      <c r="L231" s="89">
        <v>50</v>
      </c>
      <c r="M231" s="89" t="s">
        <v>353</v>
      </c>
      <c r="N231" s="89" t="s">
        <v>419</v>
      </c>
      <c r="O231" s="89">
        <v>50</v>
      </c>
      <c r="P231" s="89" t="s">
        <v>353</v>
      </c>
      <c r="Q231" s="89" t="s">
        <v>461</v>
      </c>
      <c r="R231" s="89" t="s">
        <v>462</v>
      </c>
      <c r="S231" s="89"/>
      <c r="T231" s="89"/>
      <c r="U231" s="93"/>
      <c r="V231" s="93"/>
      <c r="W231" s="93"/>
      <c r="X231" s="89"/>
      <c r="Y231" s="89"/>
      <c r="Z231" s="89"/>
      <c r="AA231" s="89"/>
      <c r="AB231" s="93"/>
      <c r="AC231" s="93"/>
      <c r="AD231" s="89"/>
      <c r="AE231" s="89"/>
      <c r="AF231" s="89">
        <v>0</v>
      </c>
      <c r="AG231" s="89">
        <v>1</v>
      </c>
      <c r="AH231" s="89">
        <v>215</v>
      </c>
      <c r="AI231" s="89">
        <v>70</v>
      </c>
      <c r="AJ231" s="89">
        <v>1.5</v>
      </c>
      <c r="AK231" s="89"/>
      <c r="AL231" s="89">
        <v>0</v>
      </c>
      <c r="AM231" s="89">
        <v>0</v>
      </c>
      <c r="AN231" s="89"/>
      <c r="AO231" s="89">
        <v>6</v>
      </c>
      <c r="AP231" s="89">
        <v>65</v>
      </c>
      <c r="AQ231" s="89">
        <v>0</v>
      </c>
      <c r="AR231" s="89"/>
      <c r="AS231" s="89">
        <v>4.5</v>
      </c>
      <c r="AT231" s="89"/>
      <c r="AU231" s="89"/>
      <c r="AV231" s="100">
        <v>219</v>
      </c>
      <c r="AW231" s="89" t="s">
        <v>372</v>
      </c>
      <c r="AX231" s="89" t="s">
        <v>373</v>
      </c>
      <c r="AY231" s="89" t="s">
        <v>463</v>
      </c>
      <c r="AZ231" s="89"/>
      <c r="BA231" s="89"/>
      <c r="BB231" s="89"/>
      <c r="BC231" s="89"/>
      <c r="BD231" s="89"/>
      <c r="BE231" s="89"/>
      <c r="BF231" s="89"/>
      <c r="BG231" s="89"/>
      <c r="BH231" s="89" t="s">
        <v>464</v>
      </c>
      <c r="BI231" s="89"/>
      <c r="BJ231" s="89"/>
      <c r="BK231" s="74">
        <v>44823.230821759258</v>
      </c>
      <c r="BL231" s="74">
        <v>44817.620821759258</v>
      </c>
      <c r="BM231" s="89" t="s">
        <v>465</v>
      </c>
      <c r="BN231" s="89" t="b">
        <v>0</v>
      </c>
    </row>
    <row r="232" spans="1:66">
      <c r="A232" s="100">
        <v>110846</v>
      </c>
      <c r="B232" s="89" t="s">
        <v>130</v>
      </c>
      <c r="C232" s="89" t="s">
        <v>95</v>
      </c>
      <c r="D232" s="89" t="s">
        <v>1355</v>
      </c>
      <c r="E232" t="s">
        <v>2117</v>
      </c>
      <c r="F232" t="s">
        <v>1916</v>
      </c>
      <c r="G232" s="89" t="s">
        <v>762</v>
      </c>
      <c r="H232" s="89" t="s">
        <v>95</v>
      </c>
      <c r="I232" s="89" t="s">
        <v>1356</v>
      </c>
      <c r="J232" s="89" t="s">
        <v>95</v>
      </c>
      <c r="K232" s="89"/>
      <c r="L232" s="104">
        <v>70</v>
      </c>
      <c r="M232" s="89" t="s">
        <v>353</v>
      </c>
      <c r="N232" s="89" t="s">
        <v>354</v>
      </c>
      <c r="O232" s="104">
        <v>70</v>
      </c>
      <c r="P232" s="89" t="s">
        <v>353</v>
      </c>
      <c r="Q232" s="89" t="s">
        <v>630</v>
      </c>
      <c r="R232" s="89" t="s">
        <v>462</v>
      </c>
      <c r="S232" s="89"/>
      <c r="T232" s="89"/>
      <c r="U232" s="93"/>
      <c r="V232" s="93"/>
      <c r="W232" s="93"/>
      <c r="X232" s="89"/>
      <c r="Y232" s="89"/>
      <c r="Z232" s="89"/>
      <c r="AA232" s="89"/>
      <c r="AB232" s="93"/>
      <c r="AC232" s="93"/>
      <c r="AD232" s="89"/>
      <c r="AE232" s="89"/>
      <c r="AF232" s="89">
        <v>10</v>
      </c>
      <c r="AG232" s="89">
        <v>6</v>
      </c>
      <c r="AH232" s="89">
        <v>0</v>
      </c>
      <c r="AI232" s="89">
        <v>25</v>
      </c>
      <c r="AJ232" s="89">
        <v>0</v>
      </c>
      <c r="AK232" s="89">
        <v>0</v>
      </c>
      <c r="AL232" s="89">
        <v>1</v>
      </c>
      <c r="AM232" s="89">
        <v>0.5</v>
      </c>
      <c r="AN232" s="89">
        <v>100</v>
      </c>
      <c r="AO232" s="89">
        <v>0.3</v>
      </c>
      <c r="AP232" s="89">
        <v>1.4</v>
      </c>
      <c r="AQ232" s="89">
        <v>3</v>
      </c>
      <c r="AR232" s="89">
        <v>0</v>
      </c>
      <c r="AS232" s="89">
        <v>0</v>
      </c>
      <c r="AT232" s="89">
        <v>0</v>
      </c>
      <c r="AU232" s="89"/>
      <c r="AV232" s="104">
        <f>32*6</f>
        <v>192</v>
      </c>
      <c r="AW232" s="89" t="s">
        <v>372</v>
      </c>
      <c r="AX232" s="106" t="s">
        <v>373</v>
      </c>
      <c r="AY232" s="89" t="s">
        <v>359</v>
      </c>
      <c r="AZ232" s="89" t="s">
        <v>359</v>
      </c>
      <c r="BA232" s="89" t="s">
        <v>359</v>
      </c>
      <c r="BB232" s="89" t="s">
        <v>359</v>
      </c>
      <c r="BC232" s="89" t="s">
        <v>359</v>
      </c>
      <c r="BD232" s="89" t="s">
        <v>359</v>
      </c>
      <c r="BE232" s="89" t="s">
        <v>359</v>
      </c>
      <c r="BF232" s="89" t="s">
        <v>359</v>
      </c>
      <c r="BG232" s="89" t="s">
        <v>359</v>
      </c>
      <c r="BH232" s="89" t="s">
        <v>766</v>
      </c>
      <c r="BI232" s="89"/>
      <c r="BJ232" s="89"/>
      <c r="BK232" t="s">
        <v>2105</v>
      </c>
      <c r="BL232" t="s">
        <v>2122</v>
      </c>
      <c r="BM232" s="89" t="s">
        <v>769</v>
      </c>
      <c r="BN232" s="89" t="b">
        <v>0</v>
      </c>
    </row>
    <row r="233" spans="1:66">
      <c r="A233" s="83">
        <v>110846</v>
      </c>
      <c r="B233" s="83" t="s">
        <v>130</v>
      </c>
      <c r="C233" s="83" t="s">
        <v>95</v>
      </c>
      <c r="D233" t="s">
        <v>2307</v>
      </c>
      <c r="E233" t="s">
        <v>2308</v>
      </c>
      <c r="F233" t="s">
        <v>762</v>
      </c>
      <c r="G233" t="s">
        <v>762</v>
      </c>
      <c r="H233" t="s">
        <v>95</v>
      </c>
      <c r="I233" t="s">
        <v>1356</v>
      </c>
      <c r="J233" t="s">
        <v>95</v>
      </c>
      <c r="L233">
        <v>70</v>
      </c>
      <c r="M233" t="s">
        <v>353</v>
      </c>
      <c r="N233" t="s">
        <v>354</v>
      </c>
      <c r="O233">
        <v>70</v>
      </c>
      <c r="P233" t="s">
        <v>353</v>
      </c>
      <c r="Q233" t="s">
        <v>758</v>
      </c>
      <c r="R233" t="s">
        <v>462</v>
      </c>
      <c r="U233"/>
      <c r="V233"/>
      <c r="W233"/>
      <c r="AB233"/>
      <c r="AC233"/>
      <c r="AF233">
        <v>10</v>
      </c>
      <c r="AG233">
        <v>6</v>
      </c>
      <c r="AH233">
        <v>0</v>
      </c>
      <c r="AI233">
        <v>25</v>
      </c>
      <c r="AJ233">
        <v>0</v>
      </c>
      <c r="AK233">
        <v>0</v>
      </c>
      <c r="AL233">
        <v>1</v>
      </c>
      <c r="AM233">
        <v>0.5</v>
      </c>
      <c r="AN233">
        <v>100</v>
      </c>
      <c r="AO233">
        <v>0</v>
      </c>
      <c r="AP233">
        <v>0</v>
      </c>
      <c r="AQ233">
        <v>3</v>
      </c>
      <c r="AR233">
        <v>0</v>
      </c>
      <c r="AS233">
        <v>0</v>
      </c>
      <c r="AT233">
        <v>0</v>
      </c>
      <c r="AV233">
        <f>32*6</f>
        <v>192</v>
      </c>
      <c r="AW233" t="s">
        <v>372</v>
      </c>
      <c r="AX233" t="b">
        <v>1</v>
      </c>
      <c r="AY233" t="s">
        <v>359</v>
      </c>
      <c r="AZ233" t="s">
        <v>359</v>
      </c>
      <c r="BA233" t="s">
        <v>359</v>
      </c>
      <c r="BB233" t="s">
        <v>359</v>
      </c>
      <c r="BC233" t="s">
        <v>359</v>
      </c>
      <c r="BD233" t="s">
        <v>359</v>
      </c>
      <c r="BE233" t="s">
        <v>359</v>
      </c>
      <c r="BF233" t="s">
        <v>359</v>
      </c>
      <c r="BG233" t="s">
        <v>359</v>
      </c>
      <c r="BH233" t="s">
        <v>2309</v>
      </c>
      <c r="BK233" t="s">
        <v>2297</v>
      </c>
      <c r="BL233" t="s">
        <v>2310</v>
      </c>
      <c r="BM233" t="s">
        <v>769</v>
      </c>
      <c r="BN233" t="b">
        <v>0</v>
      </c>
    </row>
    <row r="234" spans="1:66">
      <c r="A234">
        <v>110846</v>
      </c>
      <c r="B234" t="s">
        <v>130</v>
      </c>
      <c r="C234" t="s">
        <v>95</v>
      </c>
      <c r="D234" t="s">
        <v>2311</v>
      </c>
      <c r="E234" t="s">
        <v>2312</v>
      </c>
      <c r="F234" t="s">
        <v>762</v>
      </c>
      <c r="G234" t="s">
        <v>762</v>
      </c>
      <c r="H234" t="s">
        <v>95</v>
      </c>
      <c r="I234" t="s">
        <v>1356</v>
      </c>
      <c r="J234" t="s">
        <v>95</v>
      </c>
      <c r="L234">
        <v>70</v>
      </c>
      <c r="M234" t="s">
        <v>353</v>
      </c>
      <c r="N234" t="s">
        <v>354</v>
      </c>
      <c r="O234">
        <v>70</v>
      </c>
      <c r="P234" t="s">
        <v>353</v>
      </c>
      <c r="Q234" t="s">
        <v>758</v>
      </c>
      <c r="R234" t="s">
        <v>462</v>
      </c>
      <c r="U234"/>
      <c r="V234"/>
      <c r="W234"/>
      <c r="AB234"/>
      <c r="AC234"/>
      <c r="AF234">
        <v>10</v>
      </c>
      <c r="AG234">
        <v>6</v>
      </c>
      <c r="AH234">
        <v>0</v>
      </c>
      <c r="AI234">
        <v>25</v>
      </c>
      <c r="AJ234">
        <v>0</v>
      </c>
      <c r="AK234">
        <v>0</v>
      </c>
      <c r="AL234">
        <v>1</v>
      </c>
      <c r="AM234">
        <v>0.5</v>
      </c>
      <c r="AN234">
        <v>100</v>
      </c>
      <c r="AO234">
        <v>0</v>
      </c>
      <c r="AP234">
        <v>0</v>
      </c>
      <c r="AQ234">
        <v>3</v>
      </c>
      <c r="AR234">
        <v>0</v>
      </c>
      <c r="AS234">
        <v>0</v>
      </c>
      <c r="AT234">
        <v>0</v>
      </c>
      <c r="AV234">
        <f>32*6</f>
        <v>192</v>
      </c>
      <c r="AW234" t="s">
        <v>372</v>
      </c>
      <c r="AX234" t="b">
        <v>1</v>
      </c>
      <c r="AY234" t="s">
        <v>359</v>
      </c>
      <c r="AZ234" t="s">
        <v>359</v>
      </c>
      <c r="BA234" t="s">
        <v>359</v>
      </c>
      <c r="BB234" t="s">
        <v>359</v>
      </c>
      <c r="BC234" t="s">
        <v>359</v>
      </c>
      <c r="BD234" t="s">
        <v>359</v>
      </c>
      <c r="BE234" t="s">
        <v>359</v>
      </c>
      <c r="BF234" t="s">
        <v>359</v>
      </c>
      <c r="BG234" t="s">
        <v>359</v>
      </c>
      <c r="BH234" t="s">
        <v>2296</v>
      </c>
      <c r="BK234" t="s">
        <v>2297</v>
      </c>
      <c r="BL234" t="s">
        <v>2310</v>
      </c>
      <c r="BM234" t="s">
        <v>769</v>
      </c>
      <c r="BN234" t="b">
        <v>0</v>
      </c>
    </row>
    <row r="235" spans="1:66" ht="172.8">
      <c r="A235" s="82">
        <v>110851</v>
      </c>
      <c r="B235" s="82" t="s">
        <v>94</v>
      </c>
      <c r="C235" s="82" t="s">
        <v>91</v>
      </c>
      <c r="D235" s="82" t="s">
        <v>1983</v>
      </c>
      <c r="E235" s="82" t="s">
        <v>1984</v>
      </c>
      <c r="F235" s="82" t="s">
        <v>1985</v>
      </c>
      <c r="G235" s="82" t="s">
        <v>1986</v>
      </c>
      <c r="H235" s="82" t="s">
        <v>1987</v>
      </c>
      <c r="I235" t="s">
        <v>2113</v>
      </c>
      <c r="J235" s="82" t="s">
        <v>1988</v>
      </c>
      <c r="K235" s="82"/>
      <c r="L235" s="82">
        <v>112</v>
      </c>
      <c r="M235" s="82" t="s">
        <v>353</v>
      </c>
      <c r="N235" s="82" t="s">
        <v>354</v>
      </c>
      <c r="O235" s="82">
        <v>112</v>
      </c>
      <c r="P235" s="82" t="s">
        <v>353</v>
      </c>
      <c r="Q235" s="82" t="s">
        <v>2293</v>
      </c>
      <c r="R235" s="82" t="s">
        <v>474</v>
      </c>
      <c r="S235" s="121" t="s">
        <v>2011</v>
      </c>
      <c r="T235" s="82"/>
      <c r="U235" s="82"/>
      <c r="V235" s="82"/>
      <c r="W235" s="82"/>
      <c r="X235" s="82"/>
      <c r="Y235" s="121" t="s">
        <v>2012</v>
      </c>
      <c r="Z235" s="82"/>
      <c r="AA235" s="82"/>
      <c r="AB235" s="82"/>
      <c r="AC235" s="82"/>
      <c r="AD235" s="82"/>
      <c r="AE235" s="82"/>
      <c r="AF235" s="82">
        <v>20</v>
      </c>
      <c r="AG235" s="82">
        <v>23</v>
      </c>
      <c r="AH235" s="82">
        <v>45</v>
      </c>
      <c r="AI235" s="82">
        <v>230</v>
      </c>
      <c r="AJ235" s="82">
        <v>1.5</v>
      </c>
      <c r="AK235" s="82">
        <v>0</v>
      </c>
      <c r="AL235" s="82">
        <v>2</v>
      </c>
      <c r="AM235" s="82">
        <v>1.5</v>
      </c>
      <c r="AN235" s="82">
        <v>320</v>
      </c>
      <c r="AO235" s="82">
        <v>16</v>
      </c>
      <c r="AP235" s="82">
        <v>220</v>
      </c>
      <c r="AQ235" s="82">
        <v>1</v>
      </c>
      <c r="AR235" s="82">
        <v>1</v>
      </c>
      <c r="AS235" s="82">
        <v>9</v>
      </c>
      <c r="AT235" s="82">
        <v>1.3</v>
      </c>
      <c r="AU235" s="82" t="s">
        <v>357</v>
      </c>
      <c r="AV235" s="82">
        <v>160</v>
      </c>
      <c r="AW235" s="82" t="s">
        <v>358</v>
      </c>
      <c r="AX235" s="82" t="b">
        <v>1</v>
      </c>
      <c r="AY235" s="82" t="s">
        <v>359</v>
      </c>
      <c r="AZ235" s="82" t="s">
        <v>360</v>
      </c>
      <c r="BA235" s="82" t="s">
        <v>360</v>
      </c>
      <c r="BB235" s="82" t="s">
        <v>359</v>
      </c>
      <c r="BC235" s="82" t="s">
        <v>359</v>
      </c>
      <c r="BD235" s="82" t="s">
        <v>359</v>
      </c>
      <c r="BE235" s="82" t="s">
        <v>359</v>
      </c>
      <c r="BF235" s="82" t="s">
        <v>359</v>
      </c>
      <c r="BG235" s="82" t="s">
        <v>360</v>
      </c>
      <c r="BH235" s="82" t="s">
        <v>1514</v>
      </c>
      <c r="BI235" s="82"/>
      <c r="BJ235" s="82"/>
      <c r="BK235" t="s">
        <v>2105</v>
      </c>
      <c r="BL235" t="s">
        <v>2114</v>
      </c>
      <c r="BM235" s="90" t="s">
        <v>2013</v>
      </c>
      <c r="BN235" s="82" t="b">
        <v>0</v>
      </c>
    </row>
    <row r="236" spans="1:66">
      <c r="A236" s="100">
        <v>110851</v>
      </c>
      <c r="B236" s="89" t="s">
        <v>94</v>
      </c>
      <c r="C236" s="89" t="s">
        <v>91</v>
      </c>
      <c r="D236" s="89" t="s">
        <v>1357</v>
      </c>
      <c r="E236" s="89" t="s">
        <v>1358</v>
      </c>
      <c r="F236" s="89" t="s">
        <v>1359</v>
      </c>
      <c r="G236" s="89" t="s">
        <v>1359</v>
      </c>
      <c r="H236" s="89" t="s">
        <v>1360</v>
      </c>
      <c r="I236" s="89" t="s">
        <v>1361</v>
      </c>
      <c r="J236" s="89" t="s">
        <v>1362</v>
      </c>
      <c r="K236" s="89" t="s">
        <v>370</v>
      </c>
      <c r="L236" s="89">
        <v>113</v>
      </c>
      <c r="M236" s="89" t="s">
        <v>353</v>
      </c>
      <c r="N236" s="89" t="s">
        <v>354</v>
      </c>
      <c r="O236" s="89">
        <v>113</v>
      </c>
      <c r="P236" s="89" t="s">
        <v>353</v>
      </c>
      <c r="Q236" s="82" t="s">
        <v>2359</v>
      </c>
      <c r="R236" s="89" t="s">
        <v>474</v>
      </c>
      <c r="S236" s="103" t="s">
        <v>1363</v>
      </c>
      <c r="T236" s="89"/>
      <c r="U236" s="93"/>
      <c r="V236" s="93"/>
      <c r="W236" s="93"/>
      <c r="X236" s="89"/>
      <c r="Y236" s="89"/>
      <c r="Z236" s="89"/>
      <c r="AA236" s="89"/>
      <c r="AB236" s="93"/>
      <c r="AC236" s="93"/>
      <c r="AD236" s="89"/>
      <c r="AE236" s="108" t="s">
        <v>1364</v>
      </c>
      <c r="AF236" s="82">
        <v>20</v>
      </c>
      <c r="AG236" s="82">
        <v>20</v>
      </c>
      <c r="AH236" s="82">
        <v>45</v>
      </c>
      <c r="AI236" s="82">
        <v>220</v>
      </c>
      <c r="AJ236" s="82">
        <v>1</v>
      </c>
      <c r="AK236" s="82">
        <v>0</v>
      </c>
      <c r="AL236" s="82">
        <v>2</v>
      </c>
      <c r="AM236" s="82">
        <v>5.2</v>
      </c>
      <c r="AN236" s="82">
        <v>320</v>
      </c>
      <c r="AO236" s="82">
        <v>16</v>
      </c>
      <c r="AP236" s="82">
        <v>320</v>
      </c>
      <c r="AQ236" s="82">
        <v>0</v>
      </c>
      <c r="AR236" s="82">
        <v>0</v>
      </c>
      <c r="AS236" s="82">
        <v>9</v>
      </c>
      <c r="AT236" s="82">
        <v>0.1</v>
      </c>
      <c r="AU236" s="83" t="s">
        <v>357</v>
      </c>
      <c r="AV236" s="83" t="s">
        <v>1365</v>
      </c>
      <c r="AW236" s="83" t="s">
        <v>358</v>
      </c>
      <c r="AX236" s="83" t="s">
        <v>373</v>
      </c>
      <c r="AY236" s="83" t="s">
        <v>359</v>
      </c>
      <c r="AZ236" s="83" t="s">
        <v>360</v>
      </c>
      <c r="BA236" s="83" t="s">
        <v>359</v>
      </c>
      <c r="BB236" s="83" t="s">
        <v>359</v>
      </c>
      <c r="BC236" s="83" t="s">
        <v>359</v>
      </c>
      <c r="BD236" s="83" t="s">
        <v>359</v>
      </c>
      <c r="BE236" s="83" t="s">
        <v>359</v>
      </c>
      <c r="BF236" s="83" t="s">
        <v>359</v>
      </c>
      <c r="BG236" s="83" t="s">
        <v>360</v>
      </c>
      <c r="BH236" s="82" t="s">
        <v>1366</v>
      </c>
      <c r="BI236" s="83"/>
      <c r="BJ236" s="83"/>
      <c r="BK236" s="74">
        <v>45352.404293981483</v>
      </c>
      <c r="BL236" s="74">
        <v>45351.473611111112</v>
      </c>
      <c r="BM236" s="82" t="s">
        <v>1367</v>
      </c>
      <c r="BN236" s="83" t="b">
        <v>0</v>
      </c>
    </row>
    <row r="237" spans="1:66">
      <c r="A237" s="100">
        <v>110854</v>
      </c>
      <c r="B237" s="89" t="s">
        <v>175</v>
      </c>
      <c r="C237" s="89" t="s">
        <v>171</v>
      </c>
      <c r="D237" s="89" t="s">
        <v>1368</v>
      </c>
      <c r="E237" s="89" t="s">
        <v>1105</v>
      </c>
      <c r="F237" s="89" t="s">
        <v>1106</v>
      </c>
      <c r="G237" s="89" t="s">
        <v>1106</v>
      </c>
      <c r="H237" s="89" t="s">
        <v>1107</v>
      </c>
      <c r="I237" s="89" t="s">
        <v>1369</v>
      </c>
      <c r="J237" s="89" t="s">
        <v>1107</v>
      </c>
      <c r="K237" s="89" t="s">
        <v>370</v>
      </c>
      <c r="L237" s="89">
        <v>31</v>
      </c>
      <c r="M237" s="89" t="s">
        <v>353</v>
      </c>
      <c r="N237" s="89" t="s">
        <v>354</v>
      </c>
      <c r="O237" s="89">
        <v>31</v>
      </c>
      <c r="P237" s="89" t="s">
        <v>353</v>
      </c>
      <c r="Q237" s="89" t="s">
        <v>1370</v>
      </c>
      <c r="R237" s="89" t="s">
        <v>371</v>
      </c>
      <c r="S237" s="89"/>
      <c r="T237" s="89"/>
      <c r="U237" s="93"/>
      <c r="V237" s="93"/>
      <c r="W237" s="93"/>
      <c r="X237" s="89"/>
      <c r="Y237" s="89"/>
      <c r="Z237" s="89"/>
      <c r="AA237" s="89"/>
      <c r="AB237" s="93"/>
      <c r="AC237" s="93"/>
      <c r="AD237" s="89"/>
      <c r="AE237" s="89"/>
      <c r="AF237" s="89">
        <v>18</v>
      </c>
      <c r="AG237" s="89">
        <v>8</v>
      </c>
      <c r="AH237" s="89">
        <v>0</v>
      </c>
      <c r="AI237" s="89">
        <v>180</v>
      </c>
      <c r="AJ237" s="89">
        <v>2.5</v>
      </c>
      <c r="AK237" s="89">
        <v>0</v>
      </c>
      <c r="AL237" s="89">
        <v>2</v>
      </c>
      <c r="AM237" s="89">
        <v>0.4</v>
      </c>
      <c r="AN237" s="89">
        <v>179</v>
      </c>
      <c r="AO237" s="89">
        <v>7</v>
      </c>
      <c r="AP237" s="89">
        <v>125</v>
      </c>
      <c r="AQ237" s="89">
        <v>3</v>
      </c>
      <c r="AR237" s="89">
        <v>2</v>
      </c>
      <c r="AS237" s="89">
        <v>15</v>
      </c>
      <c r="AT237" s="89">
        <v>0</v>
      </c>
      <c r="AU237" s="89" t="s">
        <v>502</v>
      </c>
      <c r="AV237" s="104">
        <v>120</v>
      </c>
      <c r="AW237" s="89" t="s">
        <v>372</v>
      </c>
      <c r="AX237" s="89" t="s">
        <v>373</v>
      </c>
      <c r="AY237" s="89"/>
      <c r="AZ237" s="89"/>
      <c r="BA237" s="89"/>
      <c r="BB237" s="89" t="s">
        <v>360</v>
      </c>
      <c r="BC237" s="89"/>
      <c r="BD237" s="89"/>
      <c r="BE237" s="89"/>
      <c r="BF237" s="89"/>
      <c r="BG237" s="89"/>
      <c r="BH237" s="89" t="s">
        <v>1109</v>
      </c>
      <c r="BI237" s="89"/>
      <c r="BJ237" s="89"/>
      <c r="BK237" s="74">
        <v>44865.396979166668</v>
      </c>
      <c r="BL237" s="74">
        <v>44838.580196759263</v>
      </c>
      <c r="BM237" s="89" t="s">
        <v>1371</v>
      </c>
      <c r="BN237" s="89" t="b">
        <v>0</v>
      </c>
    </row>
    <row r="238" spans="1:66">
      <c r="A238" s="100">
        <v>110854</v>
      </c>
      <c r="B238" s="89" t="s">
        <v>175</v>
      </c>
      <c r="C238" s="89" t="s">
        <v>171</v>
      </c>
      <c r="D238" s="89" t="s">
        <v>1372</v>
      </c>
      <c r="E238" s="89" t="s">
        <v>1373</v>
      </c>
      <c r="F238" s="89" t="s">
        <v>1374</v>
      </c>
      <c r="G238" s="89" t="s">
        <v>1374</v>
      </c>
      <c r="H238" s="89" t="s">
        <v>1375</v>
      </c>
      <c r="I238" s="89" t="s">
        <v>1373</v>
      </c>
      <c r="J238" s="89" t="s">
        <v>1376</v>
      </c>
      <c r="K238" s="89" t="s">
        <v>370</v>
      </c>
      <c r="L238" s="89">
        <v>31.2</v>
      </c>
      <c r="M238" s="89" t="s">
        <v>353</v>
      </c>
      <c r="N238" s="89" t="s">
        <v>419</v>
      </c>
      <c r="O238" s="89">
        <v>31.2</v>
      </c>
      <c r="P238" s="89" t="s">
        <v>353</v>
      </c>
      <c r="Q238" s="89" t="s">
        <v>1377</v>
      </c>
      <c r="R238" s="89" t="s">
        <v>371</v>
      </c>
      <c r="S238" s="89"/>
      <c r="T238" s="89"/>
      <c r="U238" s="93"/>
      <c r="V238" s="93"/>
      <c r="W238" s="93"/>
      <c r="X238" s="89"/>
      <c r="Y238" s="89"/>
      <c r="Z238" s="89"/>
      <c r="AA238" s="89"/>
      <c r="AB238" s="93"/>
      <c r="AC238" s="93"/>
      <c r="AD238" s="89"/>
      <c r="AE238" s="89"/>
      <c r="AF238" s="89">
        <v>1.4E-2</v>
      </c>
      <c r="AG238" s="89">
        <v>4</v>
      </c>
      <c r="AH238" s="89">
        <v>0</v>
      </c>
      <c r="AI238" s="89">
        <v>200</v>
      </c>
      <c r="AJ238" s="89">
        <v>3.5</v>
      </c>
      <c r="AK238" s="89">
        <v>0</v>
      </c>
      <c r="AL238" s="89">
        <v>2</v>
      </c>
      <c r="AM238" s="89">
        <v>0.5</v>
      </c>
      <c r="AN238" s="89">
        <v>200</v>
      </c>
      <c r="AO238" s="89">
        <v>7</v>
      </c>
      <c r="AP238" s="89">
        <v>125</v>
      </c>
      <c r="AQ238" s="89">
        <v>3</v>
      </c>
      <c r="AR238" s="89">
        <v>2</v>
      </c>
      <c r="AS238" s="89">
        <v>16</v>
      </c>
      <c r="AT238" s="89">
        <v>0</v>
      </c>
      <c r="AU238" s="89"/>
      <c r="AV238" s="89" t="s">
        <v>1378</v>
      </c>
      <c r="AW238" s="89" t="s">
        <v>358</v>
      </c>
      <c r="AX238" s="89" t="s">
        <v>373</v>
      </c>
      <c r="AY238" s="89" t="s">
        <v>359</v>
      </c>
      <c r="AZ238" s="89" t="s">
        <v>359</v>
      </c>
      <c r="BA238" s="89" t="s">
        <v>476</v>
      </c>
      <c r="BB238" s="89" t="s">
        <v>360</v>
      </c>
      <c r="BC238" s="89" t="s">
        <v>359</v>
      </c>
      <c r="BD238" s="89" t="s">
        <v>359</v>
      </c>
      <c r="BE238" s="89" t="s">
        <v>476</v>
      </c>
      <c r="BF238" s="89" t="s">
        <v>359</v>
      </c>
      <c r="BG238" s="89" t="s">
        <v>359</v>
      </c>
      <c r="BH238" s="89" t="s">
        <v>727</v>
      </c>
      <c r="BI238" s="89"/>
      <c r="BJ238" s="89"/>
      <c r="BK238" s="74">
        <v>44865.397974537038</v>
      </c>
      <c r="BL238" s="74">
        <v>44855.379976851851</v>
      </c>
      <c r="BM238" s="89" t="s">
        <v>1379</v>
      </c>
      <c r="BN238" s="89" t="b">
        <v>1</v>
      </c>
    </row>
    <row r="239" spans="1:66">
      <c r="A239" s="85">
        <v>110857</v>
      </c>
      <c r="B239" s="83" t="s">
        <v>157</v>
      </c>
      <c r="C239" s="83" t="s">
        <v>137</v>
      </c>
      <c r="D239" s="83" t="s">
        <v>1857</v>
      </c>
      <c r="E239" s="83" t="s">
        <v>1858</v>
      </c>
      <c r="F239" s="83" t="s">
        <v>1112</v>
      </c>
      <c r="G239" s="83" t="s">
        <v>1113</v>
      </c>
      <c r="H239" s="83" t="s">
        <v>1859</v>
      </c>
      <c r="I239" s="83" t="s">
        <v>1860</v>
      </c>
      <c r="J239" s="83" t="s">
        <v>1861</v>
      </c>
      <c r="K239" s="83" t="s">
        <v>370</v>
      </c>
      <c r="L239" s="83">
        <v>30</v>
      </c>
      <c r="M239" s="83" t="s">
        <v>353</v>
      </c>
      <c r="N239" s="82" t="s">
        <v>354</v>
      </c>
      <c r="O239" s="82">
        <v>30</v>
      </c>
      <c r="P239" s="82" t="s">
        <v>353</v>
      </c>
      <c r="Q239" s="82" t="s">
        <v>764</v>
      </c>
      <c r="R239" s="82" t="s">
        <v>474</v>
      </c>
      <c r="S239" s="83"/>
      <c r="T239" s="83"/>
      <c r="U239" s="84"/>
      <c r="V239" s="84"/>
      <c r="W239" s="84"/>
      <c r="X239" s="83"/>
      <c r="Y239" s="83"/>
      <c r="Z239" s="83"/>
      <c r="AA239" s="83"/>
      <c r="AB239" s="84"/>
      <c r="AC239" s="84"/>
      <c r="AD239" s="83"/>
      <c r="AE239" s="83"/>
      <c r="AF239" s="82">
        <v>12</v>
      </c>
      <c r="AG239" s="82">
        <v>22</v>
      </c>
      <c r="AH239" s="82">
        <v>0</v>
      </c>
      <c r="AI239" s="82">
        <v>110</v>
      </c>
      <c r="AJ239" s="82">
        <v>0</v>
      </c>
      <c r="AK239" s="82">
        <v>0</v>
      </c>
      <c r="AL239" s="82">
        <v>4</v>
      </c>
      <c r="AM239" s="82">
        <v>1</v>
      </c>
      <c r="AN239" s="82">
        <v>111</v>
      </c>
      <c r="AO239" s="82">
        <v>4</v>
      </c>
      <c r="AP239" s="82">
        <v>0</v>
      </c>
      <c r="AQ239" s="82">
        <v>1</v>
      </c>
      <c r="AR239" s="82">
        <v>0</v>
      </c>
      <c r="AS239" s="82">
        <v>0.5</v>
      </c>
      <c r="AT239" s="82">
        <v>0</v>
      </c>
      <c r="AU239" s="83" t="s">
        <v>378</v>
      </c>
      <c r="AV239" s="82">
        <f>75*8</f>
        <v>600</v>
      </c>
      <c r="AW239" s="83" t="s">
        <v>372</v>
      </c>
      <c r="AX239" s="83"/>
      <c r="AY239" s="82" t="s">
        <v>359</v>
      </c>
      <c r="AZ239" s="82" t="s">
        <v>359</v>
      </c>
      <c r="BA239" s="82" t="s">
        <v>359</v>
      </c>
      <c r="BB239" s="82" t="s">
        <v>359</v>
      </c>
      <c r="BC239" s="82" t="s">
        <v>359</v>
      </c>
      <c r="BD239" s="82" t="s">
        <v>359</v>
      </c>
      <c r="BE239" s="82" t="s">
        <v>359</v>
      </c>
      <c r="BF239" s="82" t="s">
        <v>359</v>
      </c>
      <c r="BG239" s="82" t="s">
        <v>360</v>
      </c>
      <c r="BH239" s="82" t="s">
        <v>1855</v>
      </c>
      <c r="BI239" s="82" t="s">
        <v>656</v>
      </c>
      <c r="BJ239" s="82"/>
      <c r="BK239" s="74">
        <v>45383.367083333331</v>
      </c>
      <c r="BL239" s="74">
        <v>45352.411111111112</v>
      </c>
      <c r="BM239" s="83" t="s">
        <v>1862</v>
      </c>
      <c r="BN239" s="83" t="b">
        <v>0</v>
      </c>
    </row>
    <row r="240" spans="1:66">
      <c r="A240" s="100">
        <v>110859</v>
      </c>
      <c r="B240" s="89" t="s">
        <v>131</v>
      </c>
      <c r="C240" s="89" t="s">
        <v>95</v>
      </c>
      <c r="D240" s="89" t="s">
        <v>1380</v>
      </c>
      <c r="E240" s="89" t="s">
        <v>1381</v>
      </c>
      <c r="F240" s="89" t="s">
        <v>724</v>
      </c>
      <c r="G240" s="89" t="s">
        <v>724</v>
      </c>
      <c r="H240" s="89" t="s">
        <v>1382</v>
      </c>
      <c r="I240" s="89" t="s">
        <v>1382</v>
      </c>
      <c r="J240" s="89" t="s">
        <v>1382</v>
      </c>
      <c r="K240" s="89" t="s">
        <v>370</v>
      </c>
      <c r="L240" s="89">
        <v>113.4</v>
      </c>
      <c r="M240" s="89" t="s">
        <v>353</v>
      </c>
      <c r="N240" s="89" t="s">
        <v>354</v>
      </c>
      <c r="O240" s="89">
        <v>133.4</v>
      </c>
      <c r="P240" s="89" t="s">
        <v>353</v>
      </c>
      <c r="Q240" s="89" t="s">
        <v>1383</v>
      </c>
      <c r="R240" s="89" t="s">
        <v>462</v>
      </c>
      <c r="S240" s="89"/>
      <c r="T240" s="89"/>
      <c r="U240" s="93"/>
      <c r="V240" s="93"/>
      <c r="W240" s="93"/>
      <c r="X240" s="89"/>
      <c r="Y240" s="89"/>
      <c r="Z240" s="89"/>
      <c r="AA240" s="89"/>
      <c r="AB240" s="93"/>
      <c r="AC240" s="93"/>
      <c r="AD240" s="89"/>
      <c r="AE240" s="89"/>
      <c r="AF240" s="89">
        <v>14</v>
      </c>
      <c r="AG240" s="89">
        <v>16</v>
      </c>
      <c r="AH240" s="89">
        <v>0</v>
      </c>
      <c r="AI240" s="89">
        <v>70</v>
      </c>
      <c r="AJ240" s="89">
        <v>0</v>
      </c>
      <c r="AK240" s="89">
        <v>0</v>
      </c>
      <c r="AL240" s="89">
        <v>2</v>
      </c>
      <c r="AM240" s="89">
        <v>0</v>
      </c>
      <c r="AN240" s="89">
        <v>107</v>
      </c>
      <c r="AO240" s="89">
        <v>0</v>
      </c>
      <c r="AP240" s="89">
        <v>5</v>
      </c>
      <c r="AQ240" s="89">
        <v>13</v>
      </c>
      <c r="AR240" s="89">
        <v>7</v>
      </c>
      <c r="AS240" s="89">
        <v>0</v>
      </c>
      <c r="AT240" s="89">
        <v>49</v>
      </c>
      <c r="AU240" s="89" t="s">
        <v>502</v>
      </c>
      <c r="AV240" s="89" t="s">
        <v>743</v>
      </c>
      <c r="AW240" s="89" t="s">
        <v>358</v>
      </c>
      <c r="AX240" s="89" t="s">
        <v>373</v>
      </c>
      <c r="AY240" s="89" t="s">
        <v>359</v>
      </c>
      <c r="AZ240" s="89" t="s">
        <v>359</v>
      </c>
      <c r="BA240" s="89" t="s">
        <v>359</v>
      </c>
      <c r="BB240" s="89" t="s">
        <v>359</v>
      </c>
      <c r="BC240" s="89" t="s">
        <v>359</v>
      </c>
      <c r="BD240" s="89" t="s">
        <v>359</v>
      </c>
      <c r="BE240" s="89" t="s">
        <v>359</v>
      </c>
      <c r="BF240" s="89" t="s">
        <v>359</v>
      </c>
      <c r="BG240" s="89" t="s">
        <v>359</v>
      </c>
      <c r="BH240" s="89" t="s">
        <v>727</v>
      </c>
      <c r="BI240" s="89"/>
      <c r="BJ240" s="89"/>
      <c r="BK240" s="74">
        <v>45048.438113425917</v>
      </c>
      <c r="BL240" s="74">
        <v>45033.58730324074</v>
      </c>
      <c r="BM240" s="89" t="s">
        <v>1384</v>
      </c>
      <c r="BN240" s="89" t="b">
        <v>0</v>
      </c>
    </row>
    <row r="241" spans="1:66">
      <c r="A241" s="85">
        <v>110859</v>
      </c>
      <c r="B241" s="83" t="s">
        <v>131</v>
      </c>
      <c r="C241" s="83" t="s">
        <v>95</v>
      </c>
      <c r="D241" s="83" t="s">
        <v>1385</v>
      </c>
      <c r="E241" s="83" t="s">
        <v>746</v>
      </c>
      <c r="F241" s="83" t="s">
        <v>746</v>
      </c>
      <c r="G241" s="83" t="s">
        <v>746</v>
      </c>
      <c r="H241" s="83" t="s">
        <v>1386</v>
      </c>
      <c r="I241" s="83" t="s">
        <v>1387</v>
      </c>
      <c r="J241" s="83" t="s">
        <v>749</v>
      </c>
      <c r="K241" s="83" t="s">
        <v>370</v>
      </c>
      <c r="L241" s="83">
        <v>113</v>
      </c>
      <c r="M241" s="83" t="s">
        <v>353</v>
      </c>
      <c r="N241" s="83" t="s">
        <v>354</v>
      </c>
      <c r="O241" s="83"/>
      <c r="P241" s="83"/>
      <c r="Q241" s="83" t="s">
        <v>770</v>
      </c>
      <c r="R241" s="83" t="s">
        <v>462</v>
      </c>
      <c r="S241" s="83"/>
      <c r="T241" s="83"/>
      <c r="U241" s="84"/>
      <c r="V241" s="84"/>
      <c r="W241" s="84"/>
      <c r="X241" s="83"/>
      <c r="Y241" s="83"/>
      <c r="Z241" s="83"/>
      <c r="AA241" s="83"/>
      <c r="AB241" s="84"/>
      <c r="AC241" s="84"/>
      <c r="AD241" s="83"/>
      <c r="AE241" s="83"/>
      <c r="AF241" s="83">
        <v>22</v>
      </c>
      <c r="AG241" s="83">
        <v>19</v>
      </c>
      <c r="AH241" s="83">
        <v>0</v>
      </c>
      <c r="AI241" s="83">
        <v>70</v>
      </c>
      <c r="AJ241" s="83">
        <v>0</v>
      </c>
      <c r="AK241" s="83">
        <v>0</v>
      </c>
      <c r="AL241" s="83">
        <v>3</v>
      </c>
      <c r="AM241" s="83">
        <v>0</v>
      </c>
      <c r="AN241" s="83">
        <v>95</v>
      </c>
      <c r="AO241" s="83">
        <v>1</v>
      </c>
      <c r="AP241" s="83">
        <v>0</v>
      </c>
      <c r="AQ241" s="83">
        <v>15</v>
      </c>
      <c r="AR241" s="83">
        <v>9</v>
      </c>
      <c r="AS241" s="83">
        <v>0</v>
      </c>
      <c r="AT241" s="83">
        <v>0</v>
      </c>
      <c r="AU241" s="83"/>
      <c r="AV241" s="83" t="s">
        <v>743</v>
      </c>
      <c r="AW241" s="83" t="s">
        <v>358</v>
      </c>
      <c r="AX241" s="83" t="s">
        <v>373</v>
      </c>
      <c r="AY241" s="83" t="s">
        <v>359</v>
      </c>
      <c r="AZ241" s="83" t="s">
        <v>359</v>
      </c>
      <c r="BA241" s="83" t="s">
        <v>359</v>
      </c>
      <c r="BB241" s="83" t="s">
        <v>359</v>
      </c>
      <c r="BC241" s="83" t="s">
        <v>359</v>
      </c>
      <c r="BD241" s="83" t="s">
        <v>359</v>
      </c>
      <c r="BE241" s="83" t="s">
        <v>359</v>
      </c>
      <c r="BF241" s="83" t="s">
        <v>359</v>
      </c>
      <c r="BG241" s="83" t="s">
        <v>359</v>
      </c>
      <c r="BH241" s="83" t="s">
        <v>727</v>
      </c>
      <c r="BI241" s="83"/>
      <c r="BJ241" s="83"/>
      <c r="BK241" s="88">
        <v>44823.233518518522</v>
      </c>
      <c r="BL241" s="88">
        <v>44699.788483796299</v>
      </c>
      <c r="BM241" s="83" t="s">
        <v>1388</v>
      </c>
      <c r="BN241" s="83" t="b">
        <v>0</v>
      </c>
    </row>
    <row r="242" spans="1:66">
      <c r="A242" s="100">
        <v>110860</v>
      </c>
      <c r="B242" s="89" t="s">
        <v>133</v>
      </c>
      <c r="C242" s="89" t="s">
        <v>95</v>
      </c>
      <c r="D242" s="89" t="s">
        <v>1389</v>
      </c>
      <c r="E242" t="s">
        <v>1915</v>
      </c>
      <c r="F242" t="s">
        <v>1916</v>
      </c>
      <c r="G242" s="89" t="s">
        <v>762</v>
      </c>
      <c r="H242" s="89" t="s">
        <v>95</v>
      </c>
      <c r="I242" s="89" t="s">
        <v>763</v>
      </c>
      <c r="J242" s="89" t="s">
        <v>95</v>
      </c>
      <c r="K242" s="89"/>
      <c r="L242" s="104">
        <v>70</v>
      </c>
      <c r="M242" s="89" t="s">
        <v>353</v>
      </c>
      <c r="N242" s="89" t="s">
        <v>354</v>
      </c>
      <c r="O242" s="104">
        <v>70</v>
      </c>
      <c r="P242" s="89" t="s">
        <v>353</v>
      </c>
      <c r="Q242" s="89" t="s">
        <v>630</v>
      </c>
      <c r="R242" s="89" t="s">
        <v>462</v>
      </c>
      <c r="S242" s="89"/>
      <c r="T242" s="89"/>
      <c r="U242" s="93"/>
      <c r="V242" s="93"/>
      <c r="W242" s="93"/>
      <c r="X242" s="89"/>
      <c r="Y242" s="89"/>
      <c r="Z242" s="89"/>
      <c r="AA242" s="89"/>
      <c r="AB242" s="93"/>
      <c r="AC242" s="93"/>
      <c r="AD242" s="89"/>
      <c r="AE242" s="89"/>
      <c r="AF242" s="89">
        <v>10</v>
      </c>
      <c r="AG242" s="89">
        <v>6</v>
      </c>
      <c r="AH242" s="89">
        <v>0</v>
      </c>
      <c r="AI242" s="89">
        <v>25</v>
      </c>
      <c r="AJ242" s="89">
        <v>0</v>
      </c>
      <c r="AK242" s="89">
        <v>0</v>
      </c>
      <c r="AL242" s="89">
        <v>1</v>
      </c>
      <c r="AM242" s="89">
        <v>0.5</v>
      </c>
      <c r="AN242" s="89">
        <v>100</v>
      </c>
      <c r="AO242" s="89">
        <v>0.3</v>
      </c>
      <c r="AP242" s="89">
        <v>0</v>
      </c>
      <c r="AQ242" s="89">
        <v>3</v>
      </c>
      <c r="AR242" s="89">
        <v>0</v>
      </c>
      <c r="AS242" s="89">
        <v>0</v>
      </c>
      <c r="AT242" s="89">
        <v>0</v>
      </c>
      <c r="AU242" s="89"/>
      <c r="AV242" s="104">
        <f>32*6</f>
        <v>192</v>
      </c>
      <c r="AW242" s="89" t="s">
        <v>372</v>
      </c>
      <c r="AX242" s="106" t="s">
        <v>373</v>
      </c>
      <c r="AY242" s="89" t="s">
        <v>359</v>
      </c>
      <c r="AZ242" s="89" t="s">
        <v>359</v>
      </c>
      <c r="BA242" s="89" t="s">
        <v>359</v>
      </c>
      <c r="BB242" s="89" t="s">
        <v>359</v>
      </c>
      <c r="BC242" s="89" t="s">
        <v>359</v>
      </c>
      <c r="BD242" s="89" t="s">
        <v>359</v>
      </c>
      <c r="BE242" s="89" t="s">
        <v>359</v>
      </c>
      <c r="BF242" s="89" t="s">
        <v>359</v>
      </c>
      <c r="BG242" s="89" t="s">
        <v>359</v>
      </c>
      <c r="BH242" s="89" t="s">
        <v>766</v>
      </c>
      <c r="BI242" s="89"/>
      <c r="BJ242" s="89"/>
      <c r="BK242" t="s">
        <v>2105</v>
      </c>
      <c r="BL242" t="s">
        <v>2122</v>
      </c>
      <c r="BM242" s="89" t="s">
        <v>769</v>
      </c>
      <c r="BN242" s="89" t="b">
        <v>0</v>
      </c>
    </row>
    <row r="243" spans="1:66">
      <c r="A243">
        <v>110860</v>
      </c>
      <c r="B243" t="s">
        <v>133</v>
      </c>
      <c r="C243" t="s">
        <v>95</v>
      </c>
      <c r="D243" t="s">
        <v>2316</v>
      </c>
      <c r="E243" t="s">
        <v>2117</v>
      </c>
      <c r="F243" t="s">
        <v>762</v>
      </c>
      <c r="G243" t="s">
        <v>762</v>
      </c>
      <c r="H243" t="s">
        <v>95</v>
      </c>
      <c r="I243" t="s">
        <v>763</v>
      </c>
      <c r="J243" t="s">
        <v>95</v>
      </c>
      <c r="L243">
        <v>70</v>
      </c>
      <c r="M243" t="s">
        <v>353</v>
      </c>
      <c r="N243" t="s">
        <v>354</v>
      </c>
      <c r="O243">
        <v>70</v>
      </c>
      <c r="P243" t="s">
        <v>353</v>
      </c>
      <c r="Q243" t="s">
        <v>758</v>
      </c>
      <c r="R243" t="s">
        <v>462</v>
      </c>
      <c r="U243"/>
      <c r="V243"/>
      <c r="W243"/>
      <c r="AB243"/>
      <c r="AC243"/>
      <c r="AF243">
        <v>10</v>
      </c>
      <c r="AG243">
        <v>6</v>
      </c>
      <c r="AH243">
        <v>0</v>
      </c>
      <c r="AI243">
        <v>25</v>
      </c>
      <c r="AJ243">
        <v>0</v>
      </c>
      <c r="AK243">
        <v>0</v>
      </c>
      <c r="AL243">
        <v>1</v>
      </c>
      <c r="AM243">
        <v>0.5</v>
      </c>
      <c r="AN243">
        <v>100</v>
      </c>
      <c r="AO243">
        <v>0</v>
      </c>
      <c r="AP243">
        <v>0</v>
      </c>
      <c r="AQ243">
        <v>3</v>
      </c>
      <c r="AR243">
        <v>0</v>
      </c>
      <c r="AS243">
        <v>0</v>
      </c>
      <c r="AT243">
        <v>0</v>
      </c>
      <c r="AV243">
        <f>32*6</f>
        <v>192</v>
      </c>
      <c r="AW243" t="s">
        <v>372</v>
      </c>
      <c r="AX243" t="b">
        <v>1</v>
      </c>
      <c r="AY243" t="s">
        <v>359</v>
      </c>
      <c r="AZ243" t="s">
        <v>359</v>
      </c>
      <c r="BA243" t="s">
        <v>359</v>
      </c>
      <c r="BB243" t="s">
        <v>359</v>
      </c>
      <c r="BC243" t="s">
        <v>359</v>
      </c>
      <c r="BD243" t="s">
        <v>359</v>
      </c>
      <c r="BE243" t="s">
        <v>359</v>
      </c>
      <c r="BF243" t="s">
        <v>359</v>
      </c>
      <c r="BG243" t="s">
        <v>359</v>
      </c>
      <c r="BH243" t="s">
        <v>2296</v>
      </c>
      <c r="BK243" t="s">
        <v>2297</v>
      </c>
      <c r="BL243" t="s">
        <v>2310</v>
      </c>
      <c r="BM243" t="s">
        <v>769</v>
      </c>
      <c r="BN243" t="b">
        <v>0</v>
      </c>
    </row>
    <row r="244" spans="1:66" s="112" customFormat="1">
      <c r="A244">
        <v>110860</v>
      </c>
      <c r="B244" t="s">
        <v>133</v>
      </c>
      <c r="C244" t="s">
        <v>95</v>
      </c>
      <c r="D244" t="s">
        <v>2317</v>
      </c>
      <c r="E244" t="s">
        <v>2312</v>
      </c>
      <c r="F244" t="s">
        <v>762</v>
      </c>
      <c r="G244" t="s">
        <v>762</v>
      </c>
      <c r="H244" t="s">
        <v>95</v>
      </c>
      <c r="I244" t="s">
        <v>763</v>
      </c>
      <c r="J244" t="s">
        <v>95</v>
      </c>
      <c r="K244"/>
      <c r="L244">
        <v>70</v>
      </c>
      <c r="M244" t="s">
        <v>353</v>
      </c>
      <c r="N244" t="s">
        <v>354</v>
      </c>
      <c r="O244">
        <v>70</v>
      </c>
      <c r="P244" t="s">
        <v>353</v>
      </c>
      <c r="Q244" t="s">
        <v>758</v>
      </c>
      <c r="R244" t="s">
        <v>462</v>
      </c>
      <c r="S244"/>
      <c r="T244"/>
      <c r="U244"/>
      <c r="V244"/>
      <c r="W244"/>
      <c r="X244"/>
      <c r="Y244"/>
      <c r="Z244"/>
      <c r="AA244"/>
      <c r="AB244"/>
      <c r="AC244"/>
      <c r="AD244"/>
      <c r="AE244"/>
      <c r="AF244">
        <v>10</v>
      </c>
      <c r="AG244">
        <v>6</v>
      </c>
      <c r="AH244">
        <v>0</v>
      </c>
      <c r="AI244">
        <v>25</v>
      </c>
      <c r="AJ244">
        <v>0</v>
      </c>
      <c r="AK244">
        <v>0</v>
      </c>
      <c r="AL244">
        <v>1</v>
      </c>
      <c r="AM244">
        <v>0.5</v>
      </c>
      <c r="AN244">
        <v>100</v>
      </c>
      <c r="AO244">
        <v>0</v>
      </c>
      <c r="AP244">
        <v>0</v>
      </c>
      <c r="AQ244">
        <v>3</v>
      </c>
      <c r="AR244">
        <v>0</v>
      </c>
      <c r="AS244">
        <v>0</v>
      </c>
      <c r="AT244">
        <v>0</v>
      </c>
      <c r="AU244"/>
      <c r="AV244">
        <f>32*6</f>
        <v>192</v>
      </c>
      <c r="AW244" t="s">
        <v>372</v>
      </c>
      <c r="AX244" t="b">
        <v>1</v>
      </c>
      <c r="AY244" t="s">
        <v>359</v>
      </c>
      <c r="AZ244" t="s">
        <v>359</v>
      </c>
      <c r="BA244" t="s">
        <v>359</v>
      </c>
      <c r="BB244" t="s">
        <v>359</v>
      </c>
      <c r="BC244" t="s">
        <v>359</v>
      </c>
      <c r="BD244" t="s">
        <v>359</v>
      </c>
      <c r="BE244" t="s">
        <v>359</v>
      </c>
      <c r="BF244" t="s">
        <v>359</v>
      </c>
      <c r="BG244" t="s">
        <v>359</v>
      </c>
      <c r="BH244" t="s">
        <v>2296</v>
      </c>
      <c r="BI244"/>
      <c r="BJ244"/>
      <c r="BK244" t="s">
        <v>2297</v>
      </c>
      <c r="BL244" t="s">
        <v>2310</v>
      </c>
      <c r="BM244" t="s">
        <v>769</v>
      </c>
      <c r="BN244" t="b">
        <v>0</v>
      </c>
    </row>
    <row r="245" spans="1:66">
      <c r="A245" s="100">
        <v>110872</v>
      </c>
      <c r="B245" s="89" t="s">
        <v>134</v>
      </c>
      <c r="C245" s="89" t="s">
        <v>95</v>
      </c>
      <c r="D245" s="89" t="s">
        <v>1390</v>
      </c>
      <c r="E245" t="s">
        <v>1922</v>
      </c>
      <c r="F245" t="s">
        <v>1916</v>
      </c>
      <c r="G245" s="89" t="s">
        <v>762</v>
      </c>
      <c r="H245" s="89" t="s">
        <v>1391</v>
      </c>
      <c r="I245" s="89" t="s">
        <v>1392</v>
      </c>
      <c r="J245" s="89" t="s">
        <v>95</v>
      </c>
      <c r="K245" s="89"/>
      <c r="L245" s="104">
        <v>70</v>
      </c>
      <c r="M245" s="89" t="s">
        <v>353</v>
      </c>
      <c r="N245" s="89" t="s">
        <v>354</v>
      </c>
      <c r="O245" s="104">
        <v>70</v>
      </c>
      <c r="P245" s="89" t="s">
        <v>353</v>
      </c>
      <c r="Q245" s="89" t="s">
        <v>630</v>
      </c>
      <c r="R245" s="89" t="s">
        <v>462</v>
      </c>
      <c r="S245" s="89"/>
      <c r="T245" s="89"/>
      <c r="U245" s="93"/>
      <c r="V245" s="93"/>
      <c r="W245" s="93"/>
      <c r="X245" s="89"/>
      <c r="Y245" s="89"/>
      <c r="Z245" s="89"/>
      <c r="AA245" s="89"/>
      <c r="AB245" s="93"/>
      <c r="AC245" s="93"/>
      <c r="AD245" s="89"/>
      <c r="AE245" s="89"/>
      <c r="AF245" s="89">
        <v>9.8800000000000008</v>
      </c>
      <c r="AG245" s="89">
        <v>11</v>
      </c>
      <c r="AH245" s="89">
        <v>0</v>
      </c>
      <c r="AI245" s="89">
        <v>45</v>
      </c>
      <c r="AJ245" s="89">
        <v>0</v>
      </c>
      <c r="AK245" s="89">
        <v>0</v>
      </c>
      <c r="AL245" s="89">
        <v>1</v>
      </c>
      <c r="AM245" s="89">
        <v>0.2</v>
      </c>
      <c r="AN245" s="89">
        <v>0</v>
      </c>
      <c r="AO245" s="89">
        <v>0</v>
      </c>
      <c r="AP245" s="89">
        <v>0</v>
      </c>
      <c r="AQ245" s="89">
        <v>9</v>
      </c>
      <c r="AR245" s="89">
        <v>0</v>
      </c>
      <c r="AS245" s="89">
        <v>0</v>
      </c>
      <c r="AT245" s="89">
        <v>0</v>
      </c>
      <c r="AU245" s="89"/>
      <c r="AV245" s="104">
        <f>16*12</f>
        <v>192</v>
      </c>
      <c r="AW245" s="89" t="s">
        <v>372</v>
      </c>
      <c r="AX245" s="106" t="b">
        <v>1</v>
      </c>
      <c r="AY245" s="89" t="s">
        <v>359</v>
      </c>
      <c r="AZ245" s="89" t="s">
        <v>359</v>
      </c>
      <c r="BA245" s="89" t="s">
        <v>359</v>
      </c>
      <c r="BB245" s="89" t="s">
        <v>359</v>
      </c>
      <c r="BC245" s="89" t="s">
        <v>359</v>
      </c>
      <c r="BD245" s="89" t="s">
        <v>359</v>
      </c>
      <c r="BE245" s="89" t="s">
        <v>359</v>
      </c>
      <c r="BF245" s="89" t="s">
        <v>359</v>
      </c>
      <c r="BG245" s="89" t="s">
        <v>359</v>
      </c>
      <c r="BH245" s="89" t="s">
        <v>766</v>
      </c>
      <c r="BI245" s="89"/>
      <c r="BJ245" s="89"/>
      <c r="BK245" t="s">
        <v>2105</v>
      </c>
      <c r="BL245" t="s">
        <v>2119</v>
      </c>
      <c r="BM245" s="89" t="s">
        <v>1392</v>
      </c>
      <c r="BN245" s="89" t="b">
        <v>0</v>
      </c>
    </row>
    <row r="246" spans="1:66">
      <c r="A246" s="100">
        <v>110872</v>
      </c>
      <c r="B246" s="89" t="s">
        <v>134</v>
      </c>
      <c r="C246" s="89" t="s">
        <v>95</v>
      </c>
      <c r="D246" s="86" t="s">
        <v>1393</v>
      </c>
      <c r="E246" s="86" t="s">
        <v>1198</v>
      </c>
      <c r="F246" s="86" t="s">
        <v>1198</v>
      </c>
      <c r="G246" s="89" t="s">
        <v>1200</v>
      </c>
      <c r="H246" s="86" t="s">
        <v>1394</v>
      </c>
      <c r="I246" s="86" t="s">
        <v>1395</v>
      </c>
      <c r="J246" s="86" t="s">
        <v>1395</v>
      </c>
      <c r="K246" s="86"/>
      <c r="L246" s="100">
        <v>140</v>
      </c>
      <c r="M246" s="89" t="s">
        <v>353</v>
      </c>
      <c r="N246" s="89" t="s">
        <v>354</v>
      </c>
      <c r="O246" s="96">
        <v>1</v>
      </c>
      <c r="P246" s="86" t="s">
        <v>757</v>
      </c>
      <c r="Q246" s="86" t="s">
        <v>726</v>
      </c>
      <c r="R246" s="86" t="s">
        <v>462</v>
      </c>
      <c r="S246" s="83"/>
      <c r="T246" s="83"/>
      <c r="U246" s="84"/>
      <c r="V246" s="84"/>
      <c r="W246" s="84"/>
      <c r="X246" s="83"/>
      <c r="Y246" s="83"/>
      <c r="Z246" s="83"/>
      <c r="AA246" s="83"/>
      <c r="AB246" s="84"/>
      <c r="AC246" s="84"/>
      <c r="AD246" s="83"/>
      <c r="AE246" s="83"/>
      <c r="AF246" s="83">
        <v>18</v>
      </c>
      <c r="AG246" s="83">
        <v>22</v>
      </c>
      <c r="AH246" s="83">
        <v>0</v>
      </c>
      <c r="AI246" s="83">
        <v>90</v>
      </c>
      <c r="AJ246" s="83">
        <v>0</v>
      </c>
      <c r="AK246" s="86">
        <v>0</v>
      </c>
      <c r="AL246" s="86">
        <v>3</v>
      </c>
      <c r="AM246" s="86">
        <v>1</v>
      </c>
      <c r="AN246" s="86">
        <v>311</v>
      </c>
      <c r="AO246" s="86">
        <v>1</v>
      </c>
      <c r="AP246" s="86">
        <v>0</v>
      </c>
      <c r="AQ246" s="86">
        <v>18</v>
      </c>
      <c r="AR246" s="86">
        <v>0</v>
      </c>
      <c r="AS246" s="86">
        <v>0</v>
      </c>
      <c r="AT246" s="86">
        <v>0</v>
      </c>
      <c r="AU246" s="86" t="s">
        <v>357</v>
      </c>
      <c r="AV246" s="83">
        <f>8*12</f>
        <v>96</v>
      </c>
      <c r="AW246" s="86" t="s">
        <v>358</v>
      </c>
      <c r="AX246" s="100" t="b">
        <v>1</v>
      </c>
      <c r="AY246" s="89" t="s">
        <v>359</v>
      </c>
      <c r="AZ246" s="89" t="s">
        <v>359</v>
      </c>
      <c r="BA246" s="89" t="s">
        <v>359</v>
      </c>
      <c r="BB246" s="89" t="s">
        <v>359</v>
      </c>
      <c r="BC246" s="89" t="s">
        <v>359</v>
      </c>
      <c r="BD246" s="89" t="s">
        <v>359</v>
      </c>
      <c r="BE246" s="89" t="s">
        <v>359</v>
      </c>
      <c r="BF246" s="89" t="s">
        <v>359</v>
      </c>
      <c r="BG246" s="89" t="s">
        <v>359</v>
      </c>
      <c r="BH246" s="89" t="s">
        <v>1202</v>
      </c>
      <c r="BI246" s="82"/>
      <c r="BJ246" s="82"/>
      <c r="BK246" s="74">
        <v>45231.374166666668</v>
      </c>
      <c r="BL246" s="74">
        <v>45215.598611111112</v>
      </c>
      <c r="BM246" s="82" t="s">
        <v>1396</v>
      </c>
      <c r="BN246" s="82" t="b">
        <v>0</v>
      </c>
    </row>
    <row r="247" spans="1:66">
      <c r="A247" s="100">
        <v>110921</v>
      </c>
      <c r="B247" s="89" t="s">
        <v>208</v>
      </c>
      <c r="C247" s="89" t="s">
        <v>189</v>
      </c>
      <c r="D247" s="89" t="s">
        <v>1401</v>
      </c>
      <c r="E247" s="89" t="s">
        <v>559</v>
      </c>
      <c r="F247" s="89" t="s">
        <v>560</v>
      </c>
      <c r="G247" s="89" t="s">
        <v>561</v>
      </c>
      <c r="H247" s="89" t="s">
        <v>1402</v>
      </c>
      <c r="I247" s="89" t="s">
        <v>1403</v>
      </c>
      <c r="J247" s="89" t="s">
        <v>1403</v>
      </c>
      <c r="K247" s="89"/>
      <c r="L247" s="89">
        <v>80</v>
      </c>
      <c r="M247" s="89" t="s">
        <v>353</v>
      </c>
      <c r="N247" s="82" t="s">
        <v>354</v>
      </c>
      <c r="O247" s="89">
        <v>80</v>
      </c>
      <c r="P247" s="89" t="s">
        <v>353</v>
      </c>
      <c r="Q247" s="89" t="s">
        <v>1404</v>
      </c>
      <c r="R247" s="89" t="s">
        <v>1000</v>
      </c>
      <c r="S247" s="89" t="s">
        <v>475</v>
      </c>
      <c r="T247" s="89"/>
      <c r="U247" s="93"/>
      <c r="V247" s="93"/>
      <c r="W247" s="93"/>
      <c r="X247" s="89"/>
      <c r="Y247" s="89"/>
      <c r="Z247" s="89"/>
      <c r="AA247" s="89"/>
      <c r="AB247" s="93"/>
      <c r="AC247" s="93"/>
      <c r="AD247" s="89"/>
      <c r="AE247" s="89"/>
      <c r="AF247" s="89">
        <v>4</v>
      </c>
      <c r="AG247" s="89">
        <v>1</v>
      </c>
      <c r="AH247" s="89">
        <v>60</v>
      </c>
      <c r="AI247" s="89">
        <v>90</v>
      </c>
      <c r="AJ247" s="89">
        <v>0</v>
      </c>
      <c r="AK247" s="89">
        <v>0</v>
      </c>
      <c r="AL247" s="89">
        <v>0</v>
      </c>
      <c r="AM247" s="89">
        <v>0</v>
      </c>
      <c r="AN247" s="89">
        <v>404</v>
      </c>
      <c r="AO247" s="89">
        <v>18</v>
      </c>
      <c r="AP247" s="89">
        <v>190</v>
      </c>
      <c r="AQ247" s="89">
        <v>0</v>
      </c>
      <c r="AR247" s="89"/>
      <c r="AS247" s="89">
        <v>1.5</v>
      </c>
      <c r="AT247" s="89"/>
      <c r="AU247" s="89"/>
      <c r="AV247" s="89" t="s">
        <v>1405</v>
      </c>
      <c r="AW247" s="89" t="s">
        <v>358</v>
      </c>
      <c r="AX247" s="89" t="s">
        <v>373</v>
      </c>
      <c r="AY247" s="89"/>
      <c r="AZ247" s="89"/>
      <c r="BA247" s="89"/>
      <c r="BB247" s="89"/>
      <c r="BC247" s="89"/>
      <c r="BD247" s="89"/>
      <c r="BE247" s="89"/>
      <c r="BF247" s="89"/>
      <c r="BG247" s="89"/>
      <c r="BH247" s="89" t="s">
        <v>804</v>
      </c>
      <c r="BI247" s="89"/>
      <c r="BJ247" s="89"/>
      <c r="BK247" s="74">
        <v>45261.358715277784</v>
      </c>
      <c r="BL247" s="74">
        <v>45232.537083333344</v>
      </c>
      <c r="BM247" s="83" t="s">
        <v>1406</v>
      </c>
      <c r="BN247" s="83" t="b">
        <v>0</v>
      </c>
    </row>
    <row r="248" spans="1:66">
      <c r="A248" s="100">
        <v>110921</v>
      </c>
      <c r="B248" s="89" t="s">
        <v>208</v>
      </c>
      <c r="C248" s="89" t="s">
        <v>189</v>
      </c>
      <c r="D248" s="89" t="s">
        <v>1407</v>
      </c>
      <c r="E248" s="89" t="s">
        <v>480</v>
      </c>
      <c r="F248" s="89" t="s">
        <v>481</v>
      </c>
      <c r="G248" s="89" t="s">
        <v>481</v>
      </c>
      <c r="H248" s="89" t="s">
        <v>1408</v>
      </c>
      <c r="I248" s="89" t="s">
        <v>1409</v>
      </c>
      <c r="J248" s="89" t="s">
        <v>1410</v>
      </c>
      <c r="K248" t="s">
        <v>500</v>
      </c>
      <c r="L248" s="82">
        <v>81</v>
      </c>
      <c r="M248" s="82" t="s">
        <v>353</v>
      </c>
      <c r="N248" s="89" t="s">
        <v>354</v>
      </c>
      <c r="O248" s="101">
        <v>81</v>
      </c>
      <c r="P248" s="82" t="s">
        <v>353</v>
      </c>
      <c r="Q248" s="82" t="s">
        <v>1411</v>
      </c>
      <c r="R248" s="89" t="s">
        <v>474</v>
      </c>
      <c r="S248" s="103" t="s">
        <v>1412</v>
      </c>
      <c r="T248" s="89"/>
      <c r="U248" s="93"/>
      <c r="V248" s="93"/>
      <c r="W248" s="93"/>
      <c r="X248" s="89"/>
      <c r="Y248" s="89"/>
      <c r="Z248" s="89"/>
      <c r="AA248" s="89"/>
      <c r="AB248" s="93"/>
      <c r="AC248" s="93"/>
      <c r="AD248" s="89"/>
      <c r="AE248" s="108" t="s">
        <v>1413</v>
      </c>
      <c r="AF248" s="82">
        <v>5</v>
      </c>
      <c r="AG248" s="83">
        <v>1</v>
      </c>
      <c r="AH248" s="83">
        <v>55</v>
      </c>
      <c r="AI248" s="83">
        <v>100</v>
      </c>
      <c r="AJ248" s="83">
        <v>0.5</v>
      </c>
      <c r="AK248" s="83">
        <v>0</v>
      </c>
      <c r="AL248" s="83">
        <v>0</v>
      </c>
      <c r="AM248" s="82">
        <v>0.36</v>
      </c>
      <c r="AN248" s="82">
        <v>282</v>
      </c>
      <c r="AO248" s="82">
        <v>18</v>
      </c>
      <c r="AP248" s="82">
        <v>280</v>
      </c>
      <c r="AQ248" s="82">
        <v>0</v>
      </c>
      <c r="AR248" s="82"/>
      <c r="AS248" s="82">
        <v>2.5</v>
      </c>
      <c r="AT248" s="82">
        <v>0</v>
      </c>
      <c r="AU248" s="82"/>
      <c r="AV248" s="101">
        <v>168</v>
      </c>
      <c r="AW248" s="89" t="s">
        <v>358</v>
      </c>
      <c r="AX248" s="106" t="s">
        <v>373</v>
      </c>
      <c r="AY248" s="89"/>
      <c r="AZ248" s="89"/>
      <c r="BA248" s="89"/>
      <c r="BB248" s="89"/>
      <c r="BC248" s="89"/>
      <c r="BD248" s="89"/>
      <c r="BE248" s="89"/>
      <c r="BF248" s="89"/>
      <c r="BG248" s="89"/>
      <c r="BH248" s="89"/>
      <c r="BI248" s="89"/>
      <c r="BJ248" s="89"/>
      <c r="BK248" t="s">
        <v>2105</v>
      </c>
      <c r="BL248" t="s">
        <v>2131</v>
      </c>
      <c r="BM248" s="89" t="s">
        <v>1414</v>
      </c>
      <c r="BN248" s="89" t="b">
        <v>0</v>
      </c>
    </row>
    <row r="249" spans="1:66">
      <c r="A249" s="100">
        <v>110921</v>
      </c>
      <c r="B249" s="89" t="s">
        <v>208</v>
      </c>
      <c r="C249" s="89" t="s">
        <v>189</v>
      </c>
      <c r="D249" s="89" t="s">
        <v>1415</v>
      </c>
      <c r="E249" s="89" t="s">
        <v>468</v>
      </c>
      <c r="F249" s="89" t="s">
        <v>469</v>
      </c>
      <c r="G249" s="89" t="s">
        <v>469</v>
      </c>
      <c r="H249" s="89" t="s">
        <v>1416</v>
      </c>
      <c r="I249" s="89" t="s">
        <v>1417</v>
      </c>
      <c r="J249" s="89" t="s">
        <v>472</v>
      </c>
      <c r="K249" s="89" t="s">
        <v>370</v>
      </c>
      <c r="L249" s="104">
        <v>80</v>
      </c>
      <c r="M249" s="89" t="s">
        <v>353</v>
      </c>
      <c r="N249" s="89" t="s">
        <v>354</v>
      </c>
      <c r="O249" s="104">
        <v>80</v>
      </c>
      <c r="P249" s="89" t="s">
        <v>353</v>
      </c>
      <c r="Q249" s="89" t="s">
        <v>1418</v>
      </c>
      <c r="R249" s="89" t="s">
        <v>474</v>
      </c>
      <c r="S249" s="89" t="s">
        <v>475</v>
      </c>
      <c r="T249" s="89"/>
      <c r="U249" s="93"/>
      <c r="V249" s="93"/>
      <c r="W249" s="93"/>
      <c r="X249" s="89"/>
      <c r="Y249" s="89"/>
      <c r="Z249" s="89"/>
      <c r="AA249" s="89"/>
      <c r="AB249" s="93"/>
      <c r="AC249" s="93"/>
      <c r="AD249" s="89"/>
      <c r="AE249" s="89"/>
      <c r="AF249" s="89">
        <v>10</v>
      </c>
      <c r="AG249" s="89">
        <v>0</v>
      </c>
      <c r="AH249" s="89">
        <v>60</v>
      </c>
      <c r="AI249" s="89">
        <v>120</v>
      </c>
      <c r="AJ249" s="89">
        <v>1</v>
      </c>
      <c r="AK249" s="89">
        <v>0</v>
      </c>
      <c r="AL249" s="89">
        <v>0</v>
      </c>
      <c r="AM249" s="89">
        <v>0.5</v>
      </c>
      <c r="AN249" s="89">
        <v>300</v>
      </c>
      <c r="AO249" s="89">
        <v>19</v>
      </c>
      <c r="AP249" s="89">
        <v>270</v>
      </c>
      <c r="AQ249" s="89">
        <v>0</v>
      </c>
      <c r="AR249" s="89">
        <v>0</v>
      </c>
      <c r="AS249" s="89">
        <v>4</v>
      </c>
      <c r="AT249" s="89">
        <v>0</v>
      </c>
      <c r="AU249" s="89" t="s">
        <v>357</v>
      </c>
      <c r="AV249" s="104" t="s">
        <v>1405</v>
      </c>
      <c r="AW249" s="89" t="s">
        <v>358</v>
      </c>
      <c r="AX249" s="106" t="s">
        <v>373</v>
      </c>
      <c r="AY249" s="82" t="s">
        <v>476</v>
      </c>
      <c r="AZ249" s="82" t="s">
        <v>476</v>
      </c>
      <c r="BA249" s="82" t="s">
        <v>476</v>
      </c>
      <c r="BB249" s="82" t="s">
        <v>476</v>
      </c>
      <c r="BC249" s="82" t="s">
        <v>476</v>
      </c>
      <c r="BD249" s="82" t="s">
        <v>476</v>
      </c>
      <c r="BE249" s="82" t="s">
        <v>476</v>
      </c>
      <c r="BF249" s="82" t="s">
        <v>476</v>
      </c>
      <c r="BG249" s="82" t="s">
        <v>476</v>
      </c>
      <c r="BH249" s="89" t="s">
        <v>361</v>
      </c>
      <c r="BI249" s="89"/>
      <c r="BJ249" s="89"/>
      <c r="BK249" t="s">
        <v>2297</v>
      </c>
      <c r="BL249" t="s">
        <v>2362</v>
      </c>
      <c r="BM249" s="89" t="s">
        <v>1419</v>
      </c>
      <c r="BN249" s="89" t="b">
        <v>0</v>
      </c>
    </row>
    <row r="250" spans="1:66">
      <c r="A250" s="100">
        <v>111052</v>
      </c>
      <c r="B250" s="89" t="s">
        <v>233</v>
      </c>
      <c r="C250" s="89" t="s">
        <v>209</v>
      </c>
      <c r="D250" s="89" t="s">
        <v>1420</v>
      </c>
      <c r="E250" t="s">
        <v>2115</v>
      </c>
      <c r="F250" t="s">
        <v>1916</v>
      </c>
      <c r="G250" s="89" t="s">
        <v>762</v>
      </c>
      <c r="H250" s="89" t="s">
        <v>969</v>
      </c>
      <c r="I250" s="89" t="s">
        <v>996</v>
      </c>
      <c r="J250" s="89" t="s">
        <v>969</v>
      </c>
      <c r="K250" s="89"/>
      <c r="L250" s="104">
        <v>64</v>
      </c>
      <c r="M250" s="89" t="s">
        <v>353</v>
      </c>
      <c r="N250" s="89" t="s">
        <v>354</v>
      </c>
      <c r="O250" s="104">
        <v>64</v>
      </c>
      <c r="P250" s="89" t="s">
        <v>353</v>
      </c>
      <c r="Q250" s="89" t="s">
        <v>630</v>
      </c>
      <c r="R250" s="89" t="s">
        <v>564</v>
      </c>
      <c r="S250" s="89"/>
      <c r="T250" s="89"/>
      <c r="U250" s="93"/>
      <c r="V250" s="93"/>
      <c r="W250" s="93"/>
      <c r="X250" s="89"/>
      <c r="Y250" s="89"/>
      <c r="Z250" s="89"/>
      <c r="AA250" s="89"/>
      <c r="AB250" s="93"/>
      <c r="AC250" s="93"/>
      <c r="AD250" s="89"/>
      <c r="AE250" s="89"/>
      <c r="AF250" s="89">
        <v>20</v>
      </c>
      <c r="AG250" s="89">
        <v>6</v>
      </c>
      <c r="AH250" s="89">
        <v>0</v>
      </c>
      <c r="AI250" s="89">
        <v>26.34</v>
      </c>
      <c r="AJ250" s="89">
        <v>0</v>
      </c>
      <c r="AK250" s="89">
        <v>0</v>
      </c>
      <c r="AL250" s="89">
        <v>2</v>
      </c>
      <c r="AM250" s="89">
        <v>0.3</v>
      </c>
      <c r="AN250" s="89">
        <v>210</v>
      </c>
      <c r="AO250" s="89">
        <v>1</v>
      </c>
      <c r="AP250" s="89">
        <v>45</v>
      </c>
      <c r="AQ250" s="89">
        <v>3</v>
      </c>
      <c r="AR250" s="89">
        <v>0</v>
      </c>
      <c r="AS250" s="89">
        <v>0</v>
      </c>
      <c r="AT250" s="89">
        <v>0</v>
      </c>
      <c r="AU250" s="89"/>
      <c r="AV250" s="104">
        <f>14*12</f>
        <v>168</v>
      </c>
      <c r="AW250" s="89" t="s">
        <v>372</v>
      </c>
      <c r="AX250" s="106" t="s">
        <v>373</v>
      </c>
      <c r="AY250" s="89" t="s">
        <v>359</v>
      </c>
      <c r="AZ250" s="89" t="s">
        <v>359</v>
      </c>
      <c r="BA250" s="89" t="s">
        <v>359</v>
      </c>
      <c r="BB250" s="89" t="s">
        <v>359</v>
      </c>
      <c r="BC250" s="89" t="s">
        <v>359</v>
      </c>
      <c r="BD250" s="89" t="s">
        <v>359</v>
      </c>
      <c r="BE250" s="89" t="s">
        <v>359</v>
      </c>
      <c r="BF250" s="89" t="s">
        <v>359</v>
      </c>
      <c r="BG250" s="89" t="s">
        <v>359</v>
      </c>
      <c r="BH250" s="89" t="s">
        <v>766</v>
      </c>
      <c r="BI250" s="89"/>
      <c r="BJ250" s="89"/>
      <c r="BK250" t="s">
        <v>2105</v>
      </c>
      <c r="BL250" t="s">
        <v>2126</v>
      </c>
      <c r="BM250" s="89" t="s">
        <v>996</v>
      </c>
      <c r="BN250" s="89" t="b">
        <v>0</v>
      </c>
    </row>
    <row r="251" spans="1:66">
      <c r="A251">
        <v>111052</v>
      </c>
      <c r="B251" t="s">
        <v>233</v>
      </c>
      <c r="C251" t="s">
        <v>209</v>
      </c>
      <c r="D251" t="s">
        <v>2337</v>
      </c>
      <c r="E251" t="s">
        <v>2123</v>
      </c>
      <c r="F251" t="s">
        <v>762</v>
      </c>
      <c r="G251" t="s">
        <v>762</v>
      </c>
      <c r="H251" t="s">
        <v>209</v>
      </c>
      <c r="I251" t="s">
        <v>996</v>
      </c>
      <c r="J251" t="s">
        <v>209</v>
      </c>
      <c r="L251">
        <v>64</v>
      </c>
      <c r="M251" t="s">
        <v>353</v>
      </c>
      <c r="N251" t="s">
        <v>354</v>
      </c>
      <c r="O251">
        <v>64</v>
      </c>
      <c r="P251" t="s">
        <v>353</v>
      </c>
      <c r="Q251" t="s">
        <v>758</v>
      </c>
      <c r="R251" t="s">
        <v>564</v>
      </c>
      <c r="U251"/>
      <c r="V251"/>
      <c r="W251"/>
      <c r="AB251"/>
      <c r="AC251"/>
      <c r="AF251">
        <v>20</v>
      </c>
      <c r="AG251">
        <v>5</v>
      </c>
      <c r="AH251">
        <v>0</v>
      </c>
      <c r="AI251">
        <v>25</v>
      </c>
      <c r="AJ251">
        <v>0</v>
      </c>
      <c r="AK251">
        <v>0</v>
      </c>
      <c r="AL251">
        <v>2</v>
      </c>
      <c r="AM251">
        <v>0.3</v>
      </c>
      <c r="AN251">
        <v>150</v>
      </c>
      <c r="AO251">
        <v>0</v>
      </c>
      <c r="AP251">
        <v>45</v>
      </c>
      <c r="AQ251">
        <v>3</v>
      </c>
      <c r="AR251">
        <v>0</v>
      </c>
      <c r="AS251">
        <v>0</v>
      </c>
      <c r="AT251">
        <v>0</v>
      </c>
      <c r="AV251">
        <f>14*12</f>
        <v>168</v>
      </c>
      <c r="AW251" t="s">
        <v>372</v>
      </c>
      <c r="AX251" t="b">
        <v>1</v>
      </c>
      <c r="BK251" t="s">
        <v>2297</v>
      </c>
      <c r="BL251" t="s">
        <v>2298</v>
      </c>
      <c r="BM251" t="s">
        <v>996</v>
      </c>
      <c r="BN251" t="b">
        <v>0</v>
      </c>
    </row>
    <row r="252" spans="1:66">
      <c r="A252">
        <v>111052</v>
      </c>
      <c r="B252" t="s">
        <v>233</v>
      </c>
      <c r="C252" t="s">
        <v>209</v>
      </c>
      <c r="D252" t="s">
        <v>2338</v>
      </c>
      <c r="E252" t="s">
        <v>2303</v>
      </c>
      <c r="F252" t="s">
        <v>762</v>
      </c>
      <c r="G252" t="s">
        <v>762</v>
      </c>
      <c r="H252" t="s">
        <v>969</v>
      </c>
      <c r="I252" t="s">
        <v>996</v>
      </c>
      <c r="J252" t="s">
        <v>969</v>
      </c>
      <c r="L252">
        <v>64</v>
      </c>
      <c r="M252" t="s">
        <v>353</v>
      </c>
      <c r="N252" t="s">
        <v>354</v>
      </c>
      <c r="O252">
        <v>64</v>
      </c>
      <c r="P252" t="s">
        <v>353</v>
      </c>
      <c r="Q252" t="s">
        <v>758</v>
      </c>
      <c r="R252" t="s">
        <v>564</v>
      </c>
      <c r="U252"/>
      <c r="V252"/>
      <c r="W252"/>
      <c r="AB252"/>
      <c r="AC252"/>
      <c r="AF252">
        <v>20</v>
      </c>
      <c r="AG252">
        <v>5</v>
      </c>
      <c r="AH252">
        <v>0</v>
      </c>
      <c r="AI252">
        <v>25</v>
      </c>
      <c r="AJ252">
        <v>0</v>
      </c>
      <c r="AK252">
        <v>0</v>
      </c>
      <c r="AL252">
        <v>2</v>
      </c>
      <c r="AM252">
        <v>0.3</v>
      </c>
      <c r="AN252">
        <v>150</v>
      </c>
      <c r="AO252">
        <v>0</v>
      </c>
      <c r="AP252">
        <v>45</v>
      </c>
      <c r="AQ252">
        <v>3</v>
      </c>
      <c r="AR252">
        <v>0</v>
      </c>
      <c r="AS252">
        <v>0</v>
      </c>
      <c r="AT252">
        <v>0</v>
      </c>
      <c r="AV252">
        <f>14*12</f>
        <v>168</v>
      </c>
      <c r="AW252" t="s">
        <v>372</v>
      </c>
      <c r="AX252" t="b">
        <v>1</v>
      </c>
      <c r="AY252" t="s">
        <v>359</v>
      </c>
      <c r="AZ252" t="s">
        <v>359</v>
      </c>
      <c r="BA252" t="s">
        <v>359</v>
      </c>
      <c r="BB252" t="s">
        <v>359</v>
      </c>
      <c r="BC252" t="s">
        <v>359</v>
      </c>
      <c r="BD252" t="s">
        <v>359</v>
      </c>
      <c r="BE252" t="s">
        <v>359</v>
      </c>
      <c r="BF252" t="s">
        <v>359</v>
      </c>
      <c r="BG252" t="s">
        <v>359</v>
      </c>
      <c r="BH252" t="s">
        <v>2339</v>
      </c>
      <c r="BK252" t="s">
        <v>2297</v>
      </c>
      <c r="BL252" t="s">
        <v>2298</v>
      </c>
      <c r="BM252" t="s">
        <v>996</v>
      </c>
      <c r="BN252" t="b">
        <v>0</v>
      </c>
    </row>
    <row r="253" spans="1:66">
      <c r="A253">
        <v>111052</v>
      </c>
      <c r="B253" t="s">
        <v>233</v>
      </c>
      <c r="C253" t="s">
        <v>209</v>
      </c>
      <c r="D253" t="s">
        <v>2340</v>
      </c>
      <c r="E253" t="s">
        <v>2124</v>
      </c>
      <c r="F253" t="s">
        <v>762</v>
      </c>
      <c r="G253" t="s">
        <v>762</v>
      </c>
      <c r="H253" t="s">
        <v>969</v>
      </c>
      <c r="I253" t="s">
        <v>996</v>
      </c>
      <c r="J253" t="s">
        <v>969</v>
      </c>
      <c r="L253">
        <v>64</v>
      </c>
      <c r="M253" t="s">
        <v>353</v>
      </c>
      <c r="O253">
        <v>64</v>
      </c>
      <c r="P253" t="s">
        <v>353</v>
      </c>
      <c r="Q253" t="s">
        <v>758</v>
      </c>
      <c r="R253" t="s">
        <v>564</v>
      </c>
      <c r="U253"/>
      <c r="V253"/>
      <c r="W253"/>
      <c r="AB253"/>
      <c r="AC253"/>
      <c r="AF253">
        <v>20</v>
      </c>
      <c r="AG253">
        <v>5</v>
      </c>
      <c r="AH253">
        <v>0</v>
      </c>
      <c r="AI253">
        <v>25</v>
      </c>
      <c r="AJ253">
        <v>0</v>
      </c>
      <c r="AL253">
        <v>2</v>
      </c>
      <c r="AM253">
        <v>0.3</v>
      </c>
      <c r="AN253">
        <v>150</v>
      </c>
      <c r="AO253">
        <v>0</v>
      </c>
      <c r="AP253">
        <v>45</v>
      </c>
      <c r="AQ253">
        <v>3</v>
      </c>
      <c r="AR253">
        <v>0</v>
      </c>
      <c r="AS253">
        <v>0</v>
      </c>
      <c r="AT253">
        <v>0</v>
      </c>
      <c r="AV253">
        <f>14*12</f>
        <v>168</v>
      </c>
      <c r="AW253" t="s">
        <v>372</v>
      </c>
      <c r="AX253" t="b">
        <v>1</v>
      </c>
      <c r="AY253" t="s">
        <v>359</v>
      </c>
      <c r="AZ253" t="s">
        <v>359</v>
      </c>
      <c r="BA253" t="s">
        <v>359</v>
      </c>
      <c r="BB253" t="s">
        <v>359</v>
      </c>
      <c r="BC253" t="s">
        <v>359</v>
      </c>
      <c r="BD253" t="s">
        <v>359</v>
      </c>
      <c r="BE253" t="s">
        <v>359</v>
      </c>
      <c r="BF253" t="s">
        <v>359</v>
      </c>
      <c r="BG253" t="s">
        <v>359</v>
      </c>
      <c r="BH253" t="s">
        <v>2341</v>
      </c>
      <c r="BK253" t="s">
        <v>2297</v>
      </c>
      <c r="BL253" t="s">
        <v>2298</v>
      </c>
      <c r="BM253" t="s">
        <v>996</v>
      </c>
      <c r="BN253" t="b">
        <v>0</v>
      </c>
    </row>
    <row r="254" spans="1:66">
      <c r="A254" s="100">
        <v>111053</v>
      </c>
      <c r="B254" s="89" t="s">
        <v>220</v>
      </c>
      <c r="C254" s="89" t="s">
        <v>209</v>
      </c>
      <c r="D254" s="89" t="s">
        <v>1421</v>
      </c>
      <c r="E254" s="89" t="s">
        <v>963</v>
      </c>
      <c r="F254" s="89" t="s">
        <v>829</v>
      </c>
      <c r="G254" s="89" t="s">
        <v>829</v>
      </c>
      <c r="H254" s="89" t="s">
        <v>1422</v>
      </c>
      <c r="I254" s="89" t="s">
        <v>1423</v>
      </c>
      <c r="J254" s="89" t="s">
        <v>1423</v>
      </c>
      <c r="K254" s="89" t="s">
        <v>370</v>
      </c>
      <c r="L254" s="89">
        <v>85</v>
      </c>
      <c r="M254" s="89" t="s">
        <v>353</v>
      </c>
      <c r="N254" s="89" t="s">
        <v>354</v>
      </c>
      <c r="O254" s="89"/>
      <c r="P254" s="89"/>
      <c r="Q254" s="89" t="s">
        <v>630</v>
      </c>
      <c r="R254" s="89" t="s">
        <v>966</v>
      </c>
      <c r="S254" s="89"/>
      <c r="T254" s="89"/>
      <c r="U254" s="93"/>
      <c r="V254" s="93"/>
      <c r="W254" s="93"/>
      <c r="X254" s="89"/>
      <c r="Y254" s="89"/>
      <c r="Z254" s="89"/>
      <c r="AA254" s="89"/>
      <c r="AB254" s="93"/>
      <c r="AC254" s="93"/>
      <c r="AD254" s="89"/>
      <c r="AE254" s="89"/>
      <c r="AF254" s="89">
        <v>0</v>
      </c>
      <c r="AG254" s="89">
        <v>18</v>
      </c>
      <c r="AH254" s="89">
        <v>0</v>
      </c>
      <c r="AI254" s="89">
        <v>70</v>
      </c>
      <c r="AJ254" s="89">
        <v>0</v>
      </c>
      <c r="AK254" s="89">
        <v>0</v>
      </c>
      <c r="AL254" s="89">
        <v>2</v>
      </c>
      <c r="AM254" s="89">
        <v>0.4</v>
      </c>
      <c r="AN254" s="89">
        <v>180</v>
      </c>
      <c r="AO254" s="89">
        <v>3</v>
      </c>
      <c r="AP254" s="89">
        <v>0</v>
      </c>
      <c r="AQ254" s="89">
        <v>2</v>
      </c>
      <c r="AR254" s="89">
        <v>0</v>
      </c>
      <c r="AS254" s="89">
        <v>0.5</v>
      </c>
      <c r="AT254" s="89">
        <v>0</v>
      </c>
      <c r="AU254" s="89"/>
      <c r="AV254" s="100">
        <v>192</v>
      </c>
      <c r="AW254" s="89" t="s">
        <v>358</v>
      </c>
      <c r="AX254" s="89"/>
      <c r="AY254" s="89" t="s">
        <v>476</v>
      </c>
      <c r="AZ254" s="89" t="s">
        <v>476</v>
      </c>
      <c r="BA254" s="89" t="s">
        <v>476</v>
      </c>
      <c r="BB254" s="89" t="s">
        <v>476</v>
      </c>
      <c r="BC254" s="89" t="s">
        <v>476</v>
      </c>
      <c r="BD254" s="89" t="s">
        <v>476</v>
      </c>
      <c r="BE254" s="89" t="s">
        <v>476</v>
      </c>
      <c r="BF254" s="89" t="s">
        <v>476</v>
      </c>
      <c r="BG254" s="89" t="s">
        <v>476</v>
      </c>
      <c r="BH254" s="89" t="s">
        <v>832</v>
      </c>
      <c r="BI254" s="89" t="s">
        <v>656</v>
      </c>
      <c r="BJ254" s="89"/>
      <c r="BK254" s="74">
        <v>45078.375277777777</v>
      </c>
      <c r="BL254" s="74">
        <v>45068.445405092592</v>
      </c>
      <c r="BM254" s="89" t="s">
        <v>967</v>
      </c>
      <c r="BN254" s="89" t="b">
        <v>0</v>
      </c>
    </row>
    <row r="255" spans="1:66">
      <c r="A255" s="100">
        <v>111053</v>
      </c>
      <c r="B255" s="89" t="s">
        <v>220</v>
      </c>
      <c r="C255" s="89" t="s">
        <v>209</v>
      </c>
      <c r="D255" s="89" t="s">
        <v>1424</v>
      </c>
      <c r="E255" t="s">
        <v>2115</v>
      </c>
      <c r="F255" t="s">
        <v>1916</v>
      </c>
      <c r="G255" s="89" t="s">
        <v>762</v>
      </c>
      <c r="H255" s="89" t="s">
        <v>969</v>
      </c>
      <c r="I255" s="89" t="s">
        <v>970</v>
      </c>
      <c r="J255" s="89" t="s">
        <v>969</v>
      </c>
      <c r="K255" s="89"/>
      <c r="L255" s="104">
        <v>68</v>
      </c>
      <c r="M255" s="89" t="s">
        <v>353</v>
      </c>
      <c r="N255" s="89" t="s">
        <v>354</v>
      </c>
      <c r="O255" s="104">
        <v>68</v>
      </c>
      <c r="P255" s="89" t="s">
        <v>353</v>
      </c>
      <c r="Q255" s="89" t="s">
        <v>630</v>
      </c>
      <c r="R255" s="89" t="s">
        <v>564</v>
      </c>
      <c r="S255" s="89"/>
      <c r="T255" s="89"/>
      <c r="U255" s="93"/>
      <c r="V255" s="93"/>
      <c r="W255" s="93"/>
      <c r="X255" s="89"/>
      <c r="Y255" s="89"/>
      <c r="Z255" s="89"/>
      <c r="AA255" s="89"/>
      <c r="AB255" s="93"/>
      <c r="AC255" s="93"/>
      <c r="AD255" s="89"/>
      <c r="AE255" s="89"/>
      <c r="AF255" s="89">
        <v>3</v>
      </c>
      <c r="AG255" s="89">
        <v>13</v>
      </c>
      <c r="AH255" s="89">
        <v>0</v>
      </c>
      <c r="AI255" s="89">
        <v>60</v>
      </c>
      <c r="AJ255" s="89">
        <v>0</v>
      </c>
      <c r="AK255" s="89">
        <v>0</v>
      </c>
      <c r="AL255" s="89">
        <v>2</v>
      </c>
      <c r="AM255" s="89">
        <v>0.3</v>
      </c>
      <c r="AN255" s="89">
        <v>158</v>
      </c>
      <c r="AO255" s="89">
        <v>2</v>
      </c>
      <c r="AP255" s="89">
        <v>0.6</v>
      </c>
      <c r="AQ255" s="89">
        <v>2</v>
      </c>
      <c r="AR255" s="89">
        <v>0</v>
      </c>
      <c r="AS255" s="89">
        <v>0.63</v>
      </c>
      <c r="AT255" s="89">
        <v>0</v>
      </c>
      <c r="AU255" s="89"/>
      <c r="AV255" s="104">
        <f>16*12</f>
        <v>192</v>
      </c>
      <c r="AW255" s="89" t="s">
        <v>372</v>
      </c>
      <c r="AX255" s="106" t="s">
        <v>373</v>
      </c>
      <c r="AY255" s="89" t="s">
        <v>359</v>
      </c>
      <c r="AZ255" s="89" t="s">
        <v>359</v>
      </c>
      <c r="BA255" s="89" t="s">
        <v>359</v>
      </c>
      <c r="BB255" s="89" t="s">
        <v>359</v>
      </c>
      <c r="BC255" s="89" t="s">
        <v>359</v>
      </c>
      <c r="BD255" s="89" t="s">
        <v>359</v>
      </c>
      <c r="BE255" s="89" t="s">
        <v>359</v>
      </c>
      <c r="BF255" s="89" t="s">
        <v>359</v>
      </c>
      <c r="BG255" s="89" t="s">
        <v>359</v>
      </c>
      <c r="BH255" s="89" t="s">
        <v>766</v>
      </c>
      <c r="BI255" s="89"/>
      <c r="BJ255" s="89"/>
      <c r="BK255" t="s">
        <v>2105</v>
      </c>
      <c r="BL255" t="s">
        <v>2116</v>
      </c>
      <c r="BM255" s="89" t="s">
        <v>972</v>
      </c>
      <c r="BN255" s="89" t="b">
        <v>0</v>
      </c>
    </row>
    <row r="256" spans="1:66">
      <c r="A256">
        <v>111053</v>
      </c>
      <c r="B256" t="s">
        <v>220</v>
      </c>
      <c r="C256" t="s">
        <v>209</v>
      </c>
      <c r="D256" t="s">
        <v>2344</v>
      </c>
      <c r="E256" t="s">
        <v>2295</v>
      </c>
      <c r="F256" t="s">
        <v>762</v>
      </c>
      <c r="G256" t="s">
        <v>762</v>
      </c>
      <c r="H256" t="s">
        <v>969</v>
      </c>
      <c r="I256" t="s">
        <v>970</v>
      </c>
      <c r="J256" t="s">
        <v>969</v>
      </c>
      <c r="L256">
        <v>68</v>
      </c>
      <c r="M256" t="s">
        <v>353</v>
      </c>
      <c r="N256" t="s">
        <v>354</v>
      </c>
      <c r="O256">
        <v>68</v>
      </c>
      <c r="P256" t="s">
        <v>353</v>
      </c>
      <c r="Q256" t="s">
        <v>758</v>
      </c>
      <c r="R256" t="s">
        <v>564</v>
      </c>
      <c r="U256"/>
      <c r="V256"/>
      <c r="W256"/>
      <c r="AB256"/>
      <c r="AC256"/>
      <c r="AF256">
        <v>0</v>
      </c>
      <c r="AG256">
        <v>14</v>
      </c>
      <c r="AH256">
        <v>0</v>
      </c>
      <c r="AI256">
        <v>60</v>
      </c>
      <c r="AJ256">
        <v>0</v>
      </c>
      <c r="AK256">
        <v>0</v>
      </c>
      <c r="AL256">
        <v>1</v>
      </c>
      <c r="AM256">
        <v>0.3</v>
      </c>
      <c r="AN256">
        <v>140</v>
      </c>
      <c r="AO256">
        <v>2</v>
      </c>
      <c r="AP256">
        <v>0</v>
      </c>
      <c r="AQ256">
        <v>2</v>
      </c>
      <c r="AR256">
        <v>0</v>
      </c>
      <c r="AS256">
        <v>0.5</v>
      </c>
      <c r="AT256">
        <v>0</v>
      </c>
      <c r="AV256">
        <f>16*12</f>
        <v>192</v>
      </c>
      <c r="AW256" t="s">
        <v>372</v>
      </c>
      <c r="AX256" t="b">
        <v>1</v>
      </c>
      <c r="AY256" t="s">
        <v>359</v>
      </c>
      <c r="AZ256" t="s">
        <v>359</v>
      </c>
      <c r="BA256" t="s">
        <v>359</v>
      </c>
      <c r="BB256" t="s">
        <v>359</v>
      </c>
      <c r="BC256" t="s">
        <v>359</v>
      </c>
      <c r="BD256" t="s">
        <v>359</v>
      </c>
      <c r="BE256" t="s">
        <v>359</v>
      </c>
      <c r="BF256" t="s">
        <v>359</v>
      </c>
      <c r="BG256" t="s">
        <v>359</v>
      </c>
      <c r="BH256" t="s">
        <v>2296</v>
      </c>
      <c r="BK256" t="s">
        <v>2297</v>
      </c>
      <c r="BL256" t="s">
        <v>2298</v>
      </c>
      <c r="BM256" t="s">
        <v>972</v>
      </c>
      <c r="BN256" t="b">
        <v>0</v>
      </c>
    </row>
    <row r="257" spans="1:66">
      <c r="A257" s="73">
        <v>111053</v>
      </c>
      <c r="B257" s="82" t="s">
        <v>220</v>
      </c>
      <c r="C257" s="82" t="s">
        <v>209</v>
      </c>
      <c r="D257" s="82" t="s">
        <v>1425</v>
      </c>
      <c r="E257" s="82" t="s">
        <v>570</v>
      </c>
      <c r="F257" s="82" t="s">
        <v>570</v>
      </c>
      <c r="G257" s="82" t="s">
        <v>544</v>
      </c>
      <c r="H257" s="82" t="s">
        <v>1426</v>
      </c>
      <c r="I257" s="82" t="s">
        <v>1427</v>
      </c>
      <c r="J257" s="82" t="s">
        <v>1427</v>
      </c>
      <c r="K257" s="82" t="s">
        <v>370</v>
      </c>
      <c r="L257" s="101">
        <v>90</v>
      </c>
      <c r="M257" s="82" t="s">
        <v>353</v>
      </c>
      <c r="N257" s="82" t="s">
        <v>354</v>
      </c>
      <c r="O257" s="101">
        <v>100</v>
      </c>
      <c r="P257" s="82" t="s">
        <v>353</v>
      </c>
      <c r="Q257" s="82" t="s">
        <v>885</v>
      </c>
      <c r="R257" s="82" t="s">
        <v>474</v>
      </c>
      <c r="S257" s="82"/>
      <c r="T257" s="82"/>
      <c r="U257" s="82"/>
      <c r="V257" s="82"/>
      <c r="W257" s="82"/>
      <c r="X257" s="82"/>
      <c r="Y257" s="82"/>
      <c r="Z257" s="82"/>
      <c r="AA257" s="82"/>
      <c r="AB257" s="82"/>
      <c r="AC257" s="82"/>
      <c r="AD257" s="82"/>
      <c r="AE257" s="82"/>
      <c r="AF257" s="82">
        <v>0</v>
      </c>
      <c r="AG257" s="82">
        <v>21</v>
      </c>
      <c r="AH257" s="82">
        <v>0</v>
      </c>
      <c r="AI257" s="82">
        <v>100</v>
      </c>
      <c r="AJ257" s="82">
        <v>0</v>
      </c>
      <c r="AK257" s="82">
        <v>0</v>
      </c>
      <c r="AL257" s="82">
        <v>2</v>
      </c>
      <c r="AM257" s="82">
        <v>0</v>
      </c>
      <c r="AN257" s="82">
        <v>110</v>
      </c>
      <c r="AO257" s="82">
        <v>2</v>
      </c>
      <c r="AP257" s="82">
        <v>2</v>
      </c>
      <c r="AQ257" s="82">
        <v>4</v>
      </c>
      <c r="AR257" s="82">
        <v>0</v>
      </c>
      <c r="AS257" s="82">
        <v>1</v>
      </c>
      <c r="AT257" s="82">
        <v>0</v>
      </c>
      <c r="AU257" s="82" t="s">
        <v>502</v>
      </c>
      <c r="AV257" s="101">
        <f>13*12</f>
        <v>156</v>
      </c>
      <c r="AW257" s="82" t="s">
        <v>372</v>
      </c>
      <c r="AX257" s="107" t="b">
        <v>1</v>
      </c>
      <c r="AY257" s="82" t="s">
        <v>359</v>
      </c>
      <c r="AZ257" s="82" t="s">
        <v>359</v>
      </c>
      <c r="BA257" s="82" t="s">
        <v>359</v>
      </c>
      <c r="BB257" s="82" t="s">
        <v>359</v>
      </c>
      <c r="BC257" s="82" t="s">
        <v>359</v>
      </c>
      <c r="BD257" s="82" t="s">
        <v>359</v>
      </c>
      <c r="BE257" s="82" t="s">
        <v>359</v>
      </c>
      <c r="BF257" s="82" t="s">
        <v>359</v>
      </c>
      <c r="BG257" s="82" t="s">
        <v>359</v>
      </c>
      <c r="BH257" s="82" t="s">
        <v>547</v>
      </c>
      <c r="BI257" s="82"/>
      <c r="BJ257" s="82"/>
      <c r="BK257" s="74">
        <v>45323.380902777782</v>
      </c>
      <c r="BL257" s="74">
        <v>45313.638425925928</v>
      </c>
      <c r="BM257" s="82" t="s">
        <v>972</v>
      </c>
      <c r="BN257" s="82" t="b">
        <v>0</v>
      </c>
    </row>
    <row r="258" spans="1:66">
      <c r="A258" s="100">
        <v>111054</v>
      </c>
      <c r="B258" s="89" t="s">
        <v>222</v>
      </c>
      <c r="C258" s="89" t="s">
        <v>209</v>
      </c>
      <c r="D258" s="89" t="s">
        <v>1428</v>
      </c>
      <c r="E258" s="89" t="s">
        <v>1429</v>
      </c>
      <c r="F258" s="89" t="s">
        <v>829</v>
      </c>
      <c r="G258" s="89" t="s">
        <v>829</v>
      </c>
      <c r="H258" s="89" t="s">
        <v>1430</v>
      </c>
      <c r="I258" s="89" t="s">
        <v>1431</v>
      </c>
      <c r="J258" s="89" t="s">
        <v>830</v>
      </c>
      <c r="K258" s="89" t="s">
        <v>370</v>
      </c>
      <c r="L258" s="89">
        <v>85</v>
      </c>
      <c r="M258" s="89" t="s">
        <v>353</v>
      </c>
      <c r="N258" s="89" t="s">
        <v>354</v>
      </c>
      <c r="O258" s="89">
        <v>85</v>
      </c>
      <c r="P258" s="89" t="s">
        <v>353</v>
      </c>
      <c r="Q258" s="89" t="s">
        <v>638</v>
      </c>
      <c r="R258" s="89" t="s">
        <v>966</v>
      </c>
      <c r="S258" s="89"/>
      <c r="T258" s="89"/>
      <c r="U258" s="93"/>
      <c r="V258" s="93"/>
      <c r="W258" s="93"/>
      <c r="X258" s="89"/>
      <c r="Y258" s="89"/>
      <c r="Z258" s="89"/>
      <c r="AA258" s="89"/>
      <c r="AB258" s="93"/>
      <c r="AC258" s="93"/>
      <c r="AD258" s="89"/>
      <c r="AE258" s="89"/>
      <c r="AF258" s="89">
        <v>40</v>
      </c>
      <c r="AG258" s="89">
        <v>6</v>
      </c>
      <c r="AH258" s="89">
        <v>0</v>
      </c>
      <c r="AI258" s="89">
        <v>35</v>
      </c>
      <c r="AJ258" s="89">
        <v>0</v>
      </c>
      <c r="AK258" s="89">
        <v>0</v>
      </c>
      <c r="AL258" s="89">
        <v>2</v>
      </c>
      <c r="AM258" s="89">
        <v>0.7</v>
      </c>
      <c r="AN258" s="89">
        <v>160</v>
      </c>
      <c r="AO258" s="89">
        <v>2</v>
      </c>
      <c r="AP258" s="89">
        <v>0</v>
      </c>
      <c r="AQ258" s="89">
        <v>2</v>
      </c>
      <c r="AR258" s="89">
        <v>0</v>
      </c>
      <c r="AS258" s="89">
        <v>0</v>
      </c>
      <c r="AT258" s="89">
        <v>0</v>
      </c>
      <c r="AU258" s="89"/>
      <c r="AV258" s="100">
        <v>132</v>
      </c>
      <c r="AW258" s="89" t="s">
        <v>358</v>
      </c>
      <c r="AX258" s="89"/>
      <c r="AY258" s="89" t="s">
        <v>476</v>
      </c>
      <c r="AZ258" s="89" t="s">
        <v>476</v>
      </c>
      <c r="BA258" s="89" t="s">
        <v>476</v>
      </c>
      <c r="BB258" s="89" t="s">
        <v>476</v>
      </c>
      <c r="BC258" s="89" t="s">
        <v>476</v>
      </c>
      <c r="BD258" s="89" t="s">
        <v>476</v>
      </c>
      <c r="BE258" s="89" t="s">
        <v>476</v>
      </c>
      <c r="BF258" s="89" t="s">
        <v>476</v>
      </c>
      <c r="BG258" s="89" t="s">
        <v>476</v>
      </c>
      <c r="BH258" s="89" t="s">
        <v>1432</v>
      </c>
      <c r="BI258" s="89" t="s">
        <v>656</v>
      </c>
      <c r="BJ258" s="89"/>
      <c r="BK258" s="74">
        <v>45078.382870370369</v>
      </c>
      <c r="BL258" s="74">
        <v>45054.399837962963</v>
      </c>
      <c r="BM258" s="89" t="s">
        <v>990</v>
      </c>
      <c r="BN258" s="89" t="b">
        <v>0</v>
      </c>
    </row>
    <row r="259" spans="1:66">
      <c r="A259" s="100">
        <v>111054</v>
      </c>
      <c r="B259" s="89" t="s">
        <v>222</v>
      </c>
      <c r="C259" s="89" t="s">
        <v>209</v>
      </c>
      <c r="D259" s="89" t="s">
        <v>1433</v>
      </c>
      <c r="E259" t="s">
        <v>2124</v>
      </c>
      <c r="F259" s="82" t="s">
        <v>762</v>
      </c>
      <c r="G259" s="89" t="s">
        <v>762</v>
      </c>
      <c r="H259" s="89" t="s">
        <v>969</v>
      </c>
      <c r="I259" s="89" t="s">
        <v>830</v>
      </c>
      <c r="J259" s="89" t="s">
        <v>969</v>
      </c>
      <c r="K259" s="89"/>
      <c r="L259" s="104">
        <v>64</v>
      </c>
      <c r="M259" s="89" t="s">
        <v>353</v>
      </c>
      <c r="N259" s="89" t="s">
        <v>354</v>
      </c>
      <c r="O259" s="104">
        <v>64</v>
      </c>
      <c r="P259" s="89" t="s">
        <v>353</v>
      </c>
      <c r="Q259" s="89" t="s">
        <v>630</v>
      </c>
      <c r="R259" s="89" t="s">
        <v>564</v>
      </c>
      <c r="S259" s="89"/>
      <c r="T259" s="89"/>
      <c r="U259" s="93"/>
      <c r="V259" s="93"/>
      <c r="W259" s="93"/>
      <c r="X259" s="89"/>
      <c r="Y259" s="89"/>
      <c r="Z259" s="89"/>
      <c r="AA259" s="89"/>
      <c r="AB259" s="93"/>
      <c r="AC259" s="93"/>
      <c r="AD259" s="89"/>
      <c r="AE259" s="89"/>
      <c r="AF259" s="89">
        <v>32</v>
      </c>
      <c r="AG259" s="89">
        <v>4</v>
      </c>
      <c r="AH259" s="89">
        <v>0</v>
      </c>
      <c r="AI259" s="89">
        <v>25</v>
      </c>
      <c r="AJ259" s="89">
        <v>0</v>
      </c>
      <c r="AK259" s="89">
        <v>0</v>
      </c>
      <c r="AL259" s="89">
        <v>2</v>
      </c>
      <c r="AM259" s="89">
        <v>0.25</v>
      </c>
      <c r="AN259" s="89">
        <v>120</v>
      </c>
      <c r="AO259" s="89">
        <v>1</v>
      </c>
      <c r="AP259" s="89">
        <v>0</v>
      </c>
      <c r="AQ259" s="89">
        <v>2</v>
      </c>
      <c r="AR259" s="89">
        <v>0</v>
      </c>
      <c r="AS259" s="89">
        <v>0</v>
      </c>
      <c r="AT259" s="89">
        <v>0</v>
      </c>
      <c r="AU259" s="89"/>
      <c r="AV259" s="104">
        <f>14*12</f>
        <v>168</v>
      </c>
      <c r="AW259" s="89" t="s">
        <v>372</v>
      </c>
      <c r="AX259" s="106" t="s">
        <v>373</v>
      </c>
      <c r="AY259" s="89" t="s">
        <v>359</v>
      </c>
      <c r="AZ259" s="89" t="s">
        <v>359</v>
      </c>
      <c r="BA259" s="89" t="s">
        <v>359</v>
      </c>
      <c r="BB259" s="89" t="s">
        <v>359</v>
      </c>
      <c r="BC259" s="89" t="s">
        <v>359</v>
      </c>
      <c r="BD259" s="89" t="s">
        <v>359</v>
      </c>
      <c r="BE259" s="89" t="s">
        <v>359</v>
      </c>
      <c r="BF259" s="89" t="s">
        <v>359</v>
      </c>
      <c r="BG259" s="89" t="s">
        <v>359</v>
      </c>
      <c r="BH259" s="89" t="s">
        <v>766</v>
      </c>
      <c r="BI259" s="89"/>
      <c r="BJ259" s="89"/>
      <c r="BK259" t="s">
        <v>2105</v>
      </c>
      <c r="BL259" t="s">
        <v>2125</v>
      </c>
      <c r="BM259" s="89" t="s">
        <v>990</v>
      </c>
      <c r="BN259" s="89" t="b">
        <v>0</v>
      </c>
    </row>
    <row r="260" spans="1:66">
      <c r="A260">
        <v>111054</v>
      </c>
      <c r="B260" t="s">
        <v>222</v>
      </c>
      <c r="C260" t="s">
        <v>209</v>
      </c>
      <c r="D260" t="s">
        <v>2345</v>
      </c>
      <c r="E260" t="s">
        <v>2346</v>
      </c>
      <c r="F260" t="s">
        <v>762</v>
      </c>
      <c r="G260" t="s">
        <v>762</v>
      </c>
      <c r="H260" t="s">
        <v>969</v>
      </c>
      <c r="I260" t="s">
        <v>830</v>
      </c>
      <c r="J260" t="s">
        <v>969</v>
      </c>
      <c r="L260">
        <v>64</v>
      </c>
      <c r="M260" t="s">
        <v>353</v>
      </c>
      <c r="N260" t="s">
        <v>354</v>
      </c>
      <c r="O260">
        <v>64</v>
      </c>
      <c r="P260" t="s">
        <v>353</v>
      </c>
      <c r="Q260" t="s">
        <v>758</v>
      </c>
      <c r="R260" t="s">
        <v>564</v>
      </c>
      <c r="U260"/>
      <c r="V260"/>
      <c r="W260"/>
      <c r="AB260"/>
      <c r="AC260"/>
      <c r="AF260">
        <v>30</v>
      </c>
      <c r="AG260">
        <v>5</v>
      </c>
      <c r="AH260">
        <v>0</v>
      </c>
      <c r="AI260">
        <v>20</v>
      </c>
      <c r="AJ260">
        <v>0</v>
      </c>
      <c r="AK260">
        <v>0</v>
      </c>
      <c r="AL260">
        <v>2</v>
      </c>
      <c r="AM260">
        <v>0.5</v>
      </c>
      <c r="AN260">
        <v>120</v>
      </c>
      <c r="AO260">
        <v>1</v>
      </c>
      <c r="AP260">
        <v>0</v>
      </c>
      <c r="AQ260">
        <v>2</v>
      </c>
      <c r="AR260">
        <v>0</v>
      </c>
      <c r="AS260">
        <v>0</v>
      </c>
      <c r="AT260">
        <v>0</v>
      </c>
      <c r="AV260">
        <f>14*12</f>
        <v>168</v>
      </c>
      <c r="AW260" t="s">
        <v>372</v>
      </c>
      <c r="AX260" t="b">
        <v>1</v>
      </c>
      <c r="AY260" t="s">
        <v>359</v>
      </c>
      <c r="AZ260" t="s">
        <v>359</v>
      </c>
      <c r="BA260" t="s">
        <v>359</v>
      </c>
      <c r="BB260" t="s">
        <v>359</v>
      </c>
      <c r="BC260" t="s">
        <v>359</v>
      </c>
      <c r="BD260" t="s">
        <v>359</v>
      </c>
      <c r="BE260" t="s">
        <v>359</v>
      </c>
      <c r="BF260" t="s">
        <v>359</v>
      </c>
      <c r="BG260" t="s">
        <v>359</v>
      </c>
      <c r="BH260" t="s">
        <v>2296</v>
      </c>
      <c r="BK260" t="s">
        <v>2297</v>
      </c>
      <c r="BL260" t="s">
        <v>2347</v>
      </c>
      <c r="BM260" t="s">
        <v>990</v>
      </c>
      <c r="BN260" t="b">
        <v>0</v>
      </c>
    </row>
    <row r="261" spans="1:66">
      <c r="A261">
        <v>111054</v>
      </c>
      <c r="B261" t="s">
        <v>222</v>
      </c>
      <c r="C261" t="s">
        <v>209</v>
      </c>
      <c r="D261" t="s">
        <v>2348</v>
      </c>
      <c r="E261" t="s">
        <v>2300</v>
      </c>
      <c r="F261" t="s">
        <v>762</v>
      </c>
      <c r="G261" t="s">
        <v>762</v>
      </c>
      <c r="H261" t="s">
        <v>969</v>
      </c>
      <c r="I261" t="s">
        <v>830</v>
      </c>
      <c r="J261" t="s">
        <v>969</v>
      </c>
      <c r="L261">
        <v>64</v>
      </c>
      <c r="M261" t="s">
        <v>353</v>
      </c>
      <c r="N261" t="s">
        <v>354</v>
      </c>
      <c r="O261">
        <v>64</v>
      </c>
      <c r="P261" t="s">
        <v>353</v>
      </c>
      <c r="Q261" t="s">
        <v>758</v>
      </c>
      <c r="R261" t="s">
        <v>564</v>
      </c>
      <c r="U261"/>
      <c r="V261"/>
      <c r="W261"/>
      <c r="AB261"/>
      <c r="AC261"/>
      <c r="AF261">
        <v>30</v>
      </c>
      <c r="AG261">
        <v>5</v>
      </c>
      <c r="AH261">
        <v>0</v>
      </c>
      <c r="AI261">
        <v>20</v>
      </c>
      <c r="AJ261">
        <v>0</v>
      </c>
      <c r="AK261">
        <v>0</v>
      </c>
      <c r="AL261">
        <v>2</v>
      </c>
      <c r="AM261">
        <v>0.5</v>
      </c>
      <c r="AN261">
        <v>120</v>
      </c>
      <c r="AO261">
        <v>1</v>
      </c>
      <c r="AP261">
        <v>0</v>
      </c>
      <c r="AQ261">
        <v>1</v>
      </c>
      <c r="AR261">
        <v>0</v>
      </c>
      <c r="AS261">
        <v>0</v>
      </c>
      <c r="AT261">
        <v>0</v>
      </c>
      <c r="AV261">
        <f>14*12</f>
        <v>168</v>
      </c>
      <c r="AW261" t="s">
        <v>372</v>
      </c>
      <c r="AX261" t="b">
        <v>1</v>
      </c>
      <c r="AY261" t="s">
        <v>359</v>
      </c>
      <c r="AZ261" t="s">
        <v>359</v>
      </c>
      <c r="BA261" t="s">
        <v>359</v>
      </c>
      <c r="BB261" t="s">
        <v>359</v>
      </c>
      <c r="BC261" t="s">
        <v>359</v>
      </c>
      <c r="BD261" t="s">
        <v>359</v>
      </c>
      <c r="BE261" t="s">
        <v>359</v>
      </c>
      <c r="BF261" t="s">
        <v>359</v>
      </c>
      <c r="BG261" t="s">
        <v>359</v>
      </c>
      <c r="BH261" t="s">
        <v>2296</v>
      </c>
      <c r="BK261" t="s">
        <v>2297</v>
      </c>
      <c r="BL261" t="s">
        <v>2347</v>
      </c>
      <c r="BM261" t="s">
        <v>990</v>
      </c>
      <c r="BN261" t="b">
        <v>0</v>
      </c>
    </row>
    <row r="262" spans="1:66">
      <c r="A262" s="73">
        <v>111054</v>
      </c>
      <c r="B262" s="82" t="s">
        <v>222</v>
      </c>
      <c r="C262" s="82" t="s">
        <v>209</v>
      </c>
      <c r="D262" s="89" t="s">
        <v>1434</v>
      </c>
      <c r="E262" s="82" t="s">
        <v>570</v>
      </c>
      <c r="F262" s="82" t="s">
        <v>570</v>
      </c>
      <c r="G262" s="82" t="s">
        <v>544</v>
      </c>
      <c r="H262" s="82" t="s">
        <v>1435</v>
      </c>
      <c r="I262" s="82" t="s">
        <v>1436</v>
      </c>
      <c r="J262" s="82" t="s">
        <v>1437</v>
      </c>
      <c r="K262" s="82" t="s">
        <v>370</v>
      </c>
      <c r="L262" s="101">
        <v>81</v>
      </c>
      <c r="M262" s="82" t="s">
        <v>353</v>
      </c>
      <c r="N262" s="82" t="s">
        <v>354</v>
      </c>
      <c r="O262" s="101">
        <v>100</v>
      </c>
      <c r="P262" s="82" t="s">
        <v>353</v>
      </c>
      <c r="Q262" s="82" t="s">
        <v>885</v>
      </c>
      <c r="R262" s="82" t="s">
        <v>1102</v>
      </c>
      <c r="S262" s="82"/>
      <c r="T262" s="82"/>
      <c r="U262" s="82"/>
      <c r="V262" s="82"/>
      <c r="W262" s="82"/>
      <c r="X262" s="82"/>
      <c r="Y262" s="82"/>
      <c r="Z262" s="82"/>
      <c r="AA262" s="82"/>
      <c r="AB262" s="82"/>
      <c r="AC262" s="82"/>
      <c r="AD262" s="82"/>
      <c r="AE262" s="82"/>
      <c r="AF262" s="82">
        <v>36.299999999999997</v>
      </c>
      <c r="AG262" s="82">
        <v>7.1</v>
      </c>
      <c r="AH262" s="82">
        <v>0</v>
      </c>
      <c r="AI262" s="82">
        <v>35.6</v>
      </c>
      <c r="AJ262" s="82">
        <v>0</v>
      </c>
      <c r="AK262" s="82">
        <v>0</v>
      </c>
      <c r="AL262" s="82">
        <v>2.2999999999999998</v>
      </c>
      <c r="AM262" s="82">
        <v>0.6</v>
      </c>
      <c r="AN262" s="82">
        <v>111</v>
      </c>
      <c r="AO262" s="82">
        <v>1.4</v>
      </c>
      <c r="AP262" s="82">
        <v>2</v>
      </c>
      <c r="AQ262" s="82">
        <v>1.8</v>
      </c>
      <c r="AR262" s="82">
        <v>0</v>
      </c>
      <c r="AS262" s="82">
        <v>0</v>
      </c>
      <c r="AT262" s="82">
        <v>0</v>
      </c>
      <c r="AU262" s="82" t="s">
        <v>502</v>
      </c>
      <c r="AV262" s="101">
        <f>11*12</f>
        <v>132</v>
      </c>
      <c r="AW262" s="82" t="s">
        <v>372</v>
      </c>
      <c r="AX262" s="107" t="b">
        <v>1</v>
      </c>
      <c r="AY262" s="82" t="s">
        <v>359</v>
      </c>
      <c r="AZ262" s="82" t="s">
        <v>359</v>
      </c>
      <c r="BA262" s="82" t="s">
        <v>359</v>
      </c>
      <c r="BB262" s="82" t="s">
        <v>359</v>
      </c>
      <c r="BC262" s="82" t="s">
        <v>359</v>
      </c>
      <c r="BD262" s="82" t="s">
        <v>359</v>
      </c>
      <c r="BE262" s="82" t="s">
        <v>359</v>
      </c>
      <c r="BF262" s="82" t="s">
        <v>359</v>
      </c>
      <c r="BG262" s="82" t="s">
        <v>359</v>
      </c>
      <c r="BH262" s="82" t="s">
        <v>547</v>
      </c>
      <c r="BI262" s="82"/>
      <c r="BJ262" s="82"/>
      <c r="BK262" s="74">
        <v>45383.392314814817</v>
      </c>
      <c r="BL262" s="74">
        <v>45358.30605324074</v>
      </c>
      <c r="BM262" s="82" t="s">
        <v>990</v>
      </c>
      <c r="BN262" s="82" t="b">
        <v>0</v>
      </c>
    </row>
    <row r="263" spans="1:66">
      <c r="A263" s="100">
        <v>111110</v>
      </c>
      <c r="B263" s="89" t="s">
        <v>81</v>
      </c>
      <c r="C263" s="89" t="s">
        <v>63</v>
      </c>
      <c r="D263" s="89" t="s">
        <v>1438</v>
      </c>
      <c r="E263" s="89" t="s">
        <v>1439</v>
      </c>
      <c r="F263" s="89" t="s">
        <v>365</v>
      </c>
      <c r="G263" s="89" t="s">
        <v>366</v>
      </c>
      <c r="H263" s="89" t="s">
        <v>1440</v>
      </c>
      <c r="I263" s="89" t="s">
        <v>1441</v>
      </c>
      <c r="J263" s="89" t="s">
        <v>369</v>
      </c>
      <c r="K263" s="89" t="s">
        <v>370</v>
      </c>
      <c r="L263" s="89">
        <v>22</v>
      </c>
      <c r="M263" s="89" t="s">
        <v>353</v>
      </c>
      <c r="N263" s="89" t="s">
        <v>354</v>
      </c>
      <c r="O263" s="89">
        <v>22</v>
      </c>
      <c r="P263" s="89" t="s">
        <v>353</v>
      </c>
      <c r="Q263" s="89" t="s">
        <v>1442</v>
      </c>
      <c r="R263" s="89" t="s">
        <v>371</v>
      </c>
      <c r="S263" s="89"/>
      <c r="T263" s="89"/>
      <c r="U263" s="93"/>
      <c r="V263" s="93"/>
      <c r="W263" s="93"/>
      <c r="X263" s="89"/>
      <c r="Y263" s="89"/>
      <c r="Z263" s="89"/>
      <c r="AA263" s="89"/>
      <c r="AB263" s="93"/>
      <c r="AC263" s="93"/>
      <c r="AD263" s="89"/>
      <c r="AE263" s="89"/>
      <c r="AF263" s="89">
        <v>150</v>
      </c>
      <c r="AG263" s="89">
        <v>1</v>
      </c>
      <c r="AH263" s="89">
        <v>20</v>
      </c>
      <c r="AI263" s="89">
        <v>90</v>
      </c>
      <c r="AJ263" s="89">
        <v>4</v>
      </c>
      <c r="AK263" s="89">
        <v>0</v>
      </c>
      <c r="AL263" s="89">
        <v>0</v>
      </c>
      <c r="AM263" s="89">
        <v>0</v>
      </c>
      <c r="AN263" s="89">
        <v>20</v>
      </c>
      <c r="AO263" s="89">
        <v>5</v>
      </c>
      <c r="AP263" s="89">
        <v>140</v>
      </c>
      <c r="AQ263" s="89">
        <v>0</v>
      </c>
      <c r="AR263" s="89">
        <v>0</v>
      </c>
      <c r="AS263" s="89">
        <v>7</v>
      </c>
      <c r="AT263" s="89">
        <v>0.1</v>
      </c>
      <c r="AU263" s="89"/>
      <c r="AV263" s="100">
        <v>256</v>
      </c>
      <c r="AW263" s="89" t="s">
        <v>372</v>
      </c>
      <c r="AX263" s="89" t="s">
        <v>373</v>
      </c>
      <c r="AY263" s="89"/>
      <c r="AZ263" s="89"/>
      <c r="BA263" s="89" t="s">
        <v>360</v>
      </c>
      <c r="BB263" s="89"/>
      <c r="BC263" s="89"/>
      <c r="BD263" s="89"/>
      <c r="BE263" s="89"/>
      <c r="BF263" s="89"/>
      <c r="BG263" s="89"/>
      <c r="BH263" s="89" t="s">
        <v>374</v>
      </c>
      <c r="BI263" s="89"/>
      <c r="BJ263" s="89"/>
      <c r="BK263" s="74">
        <v>44896.748854166668</v>
      </c>
      <c r="BL263" s="74">
        <v>44866.656990740739</v>
      </c>
      <c r="BM263" s="89" t="s">
        <v>1443</v>
      </c>
      <c r="BN263" s="89" t="b">
        <v>0</v>
      </c>
    </row>
    <row r="264" spans="1:66">
      <c r="A264" s="100">
        <v>111110</v>
      </c>
      <c r="B264" s="89" t="s">
        <v>81</v>
      </c>
      <c r="C264" s="89" t="s">
        <v>63</v>
      </c>
      <c r="D264" s="89" t="s">
        <v>1444</v>
      </c>
      <c r="E264" s="89" t="s">
        <v>1445</v>
      </c>
      <c r="F264" s="89" t="s">
        <v>1446</v>
      </c>
      <c r="G264" s="89" t="s">
        <v>1447</v>
      </c>
      <c r="H264" s="89" t="s">
        <v>1448</v>
      </c>
      <c r="I264" s="89" t="s">
        <v>1449</v>
      </c>
      <c r="J264" s="89" t="s">
        <v>1450</v>
      </c>
      <c r="K264" s="89"/>
      <c r="L264" s="89">
        <v>21</v>
      </c>
      <c r="M264" s="89" t="s">
        <v>353</v>
      </c>
      <c r="N264" s="89" t="s">
        <v>354</v>
      </c>
      <c r="O264" s="89"/>
      <c r="P264" s="89"/>
      <c r="Q264" s="89" t="s">
        <v>1442</v>
      </c>
      <c r="R264" s="89" t="s">
        <v>371</v>
      </c>
      <c r="S264" s="89"/>
      <c r="T264" s="89"/>
      <c r="U264" s="93"/>
      <c r="V264" s="93"/>
      <c r="W264" s="93"/>
      <c r="X264" s="89"/>
      <c r="Y264" s="89"/>
      <c r="Z264" s="89"/>
      <c r="AA264" s="89"/>
      <c r="AB264" s="93"/>
      <c r="AC264" s="93"/>
      <c r="AD264" s="89"/>
      <c r="AE264" s="89"/>
      <c r="AF264" s="89">
        <v>150</v>
      </c>
      <c r="AG264" s="89">
        <v>0</v>
      </c>
      <c r="AH264" s="89">
        <v>20</v>
      </c>
      <c r="AI264" s="89">
        <v>80</v>
      </c>
      <c r="AJ264" s="89">
        <v>4</v>
      </c>
      <c r="AK264" s="89">
        <v>0</v>
      </c>
      <c r="AL264" s="89">
        <v>0</v>
      </c>
      <c r="AM264" s="89">
        <v>0</v>
      </c>
      <c r="AN264" s="89">
        <v>0</v>
      </c>
      <c r="AO264" s="89">
        <v>5</v>
      </c>
      <c r="AP264" s="89">
        <v>135</v>
      </c>
      <c r="AQ264" s="89">
        <v>0</v>
      </c>
      <c r="AR264" s="89">
        <v>0</v>
      </c>
      <c r="AS264" s="89">
        <v>7</v>
      </c>
      <c r="AT264" s="89">
        <v>0</v>
      </c>
      <c r="AU264" s="89"/>
      <c r="AV264" s="89">
        <v>256</v>
      </c>
      <c r="AW264" s="89" t="s">
        <v>358</v>
      </c>
      <c r="AX264" s="89"/>
      <c r="AY264" s="89" t="s">
        <v>359</v>
      </c>
      <c r="AZ264" s="89" t="s">
        <v>359</v>
      </c>
      <c r="BA264" s="89" t="s">
        <v>360</v>
      </c>
      <c r="BB264" s="89" t="s">
        <v>359</v>
      </c>
      <c r="BC264" s="89" t="s">
        <v>359</v>
      </c>
      <c r="BD264" s="89" t="s">
        <v>359</v>
      </c>
      <c r="BE264" s="89" t="s">
        <v>359</v>
      </c>
      <c r="BF264" s="89" t="s">
        <v>359</v>
      </c>
      <c r="BG264" s="89" t="s">
        <v>359</v>
      </c>
      <c r="BH264" s="89" t="s">
        <v>1451</v>
      </c>
      <c r="BI264" s="89"/>
      <c r="BJ264" s="89"/>
      <c r="BK264" s="74">
        <v>44865.40315972222</v>
      </c>
      <c r="BL264" s="74">
        <v>44838.383333333331</v>
      </c>
      <c r="BM264" s="89" t="s">
        <v>1452</v>
      </c>
      <c r="BN264" s="89" t="b">
        <v>0</v>
      </c>
    </row>
    <row r="265" spans="1:66">
      <c r="A265" s="100">
        <v>111220</v>
      </c>
      <c r="B265" s="89" t="s">
        <v>83</v>
      </c>
      <c r="C265" s="89" t="s">
        <v>63</v>
      </c>
      <c r="D265" s="89" t="s">
        <v>1453</v>
      </c>
      <c r="E265" s="89" t="s">
        <v>1445</v>
      </c>
      <c r="F265" s="89" t="s">
        <v>1446</v>
      </c>
      <c r="G265" s="89" t="s">
        <v>1447</v>
      </c>
      <c r="H265" s="89" t="s">
        <v>1454</v>
      </c>
      <c r="I265" s="89" t="s">
        <v>1455</v>
      </c>
      <c r="J265" s="89" t="s">
        <v>1456</v>
      </c>
      <c r="K265" s="89"/>
      <c r="L265" s="89">
        <v>28</v>
      </c>
      <c r="M265" s="89" t="s">
        <v>353</v>
      </c>
      <c r="N265" s="89" t="s">
        <v>354</v>
      </c>
      <c r="O265" s="89"/>
      <c r="P265" s="89"/>
      <c r="Q265" s="89" t="s">
        <v>355</v>
      </c>
      <c r="R265" s="89" t="s">
        <v>371</v>
      </c>
      <c r="S265" s="89"/>
      <c r="T265" s="89"/>
      <c r="U265" s="93"/>
      <c r="V265" s="93"/>
      <c r="W265" s="93"/>
      <c r="X265" s="89"/>
      <c r="Y265" s="89"/>
      <c r="Z265" s="89"/>
      <c r="AA265" s="89"/>
      <c r="AB265" s="93"/>
      <c r="AC265" s="93"/>
      <c r="AD265" s="89"/>
      <c r="AE265" s="89"/>
      <c r="AF265" s="89">
        <v>190</v>
      </c>
      <c r="AG265" s="89">
        <v>1</v>
      </c>
      <c r="AH265" s="89">
        <v>25</v>
      </c>
      <c r="AI265" s="89">
        <v>100</v>
      </c>
      <c r="AJ265" s="89">
        <v>4</v>
      </c>
      <c r="AK265" s="89">
        <v>0</v>
      </c>
      <c r="AL265" s="89">
        <v>0</v>
      </c>
      <c r="AM265" s="89">
        <v>0</v>
      </c>
      <c r="AN265" s="89">
        <v>15</v>
      </c>
      <c r="AO265" s="89">
        <v>6</v>
      </c>
      <c r="AP265" s="89">
        <v>160</v>
      </c>
      <c r="AQ265" s="89">
        <v>0</v>
      </c>
      <c r="AR265" s="89">
        <v>0</v>
      </c>
      <c r="AS265" s="89">
        <v>8</v>
      </c>
      <c r="AT265" s="89">
        <v>0</v>
      </c>
      <c r="AU265" s="89"/>
      <c r="AV265" s="89">
        <v>480</v>
      </c>
      <c r="AW265" s="89" t="s">
        <v>358</v>
      </c>
      <c r="AX265" s="89"/>
      <c r="AY265" s="89" t="s">
        <v>359</v>
      </c>
      <c r="AZ265" s="89" t="s">
        <v>359</v>
      </c>
      <c r="BA265" s="89" t="s">
        <v>360</v>
      </c>
      <c r="BB265" s="89" t="s">
        <v>359</v>
      </c>
      <c r="BC265" s="89" t="s">
        <v>359</v>
      </c>
      <c r="BD265" s="89" t="s">
        <v>359</v>
      </c>
      <c r="BE265" s="89" t="s">
        <v>359</v>
      </c>
      <c r="BF265" s="89" t="s">
        <v>359</v>
      </c>
      <c r="BG265" s="89" t="s">
        <v>359</v>
      </c>
      <c r="BH265" s="89" t="s">
        <v>1457</v>
      </c>
      <c r="BI265" s="89"/>
      <c r="BJ265" s="89"/>
      <c r="BK265" s="74">
        <v>44865.413206018522</v>
      </c>
      <c r="BL265" s="74">
        <v>44838.386805555558</v>
      </c>
      <c r="BM265" s="89" t="s">
        <v>1458</v>
      </c>
      <c r="BN265" s="89" t="b">
        <v>0</v>
      </c>
    </row>
    <row r="266" spans="1:66">
      <c r="A266" s="100">
        <v>111230</v>
      </c>
      <c r="B266" s="89" t="s">
        <v>238</v>
      </c>
      <c r="C266" s="89" t="s">
        <v>209</v>
      </c>
      <c r="D266" s="89" t="s">
        <v>1459</v>
      </c>
      <c r="E266" t="s">
        <v>2115</v>
      </c>
      <c r="F266" t="s">
        <v>1916</v>
      </c>
      <c r="G266" s="89" t="s">
        <v>762</v>
      </c>
      <c r="H266" s="89" t="s">
        <v>969</v>
      </c>
      <c r="I266" s="89" t="s">
        <v>1460</v>
      </c>
      <c r="J266" s="89" t="s">
        <v>969</v>
      </c>
      <c r="K266" s="89"/>
      <c r="L266" s="104">
        <v>68</v>
      </c>
      <c r="M266" s="89" t="s">
        <v>353</v>
      </c>
      <c r="N266" s="89" t="s">
        <v>354</v>
      </c>
      <c r="O266" s="104">
        <v>68</v>
      </c>
      <c r="P266" s="89" t="s">
        <v>353</v>
      </c>
      <c r="Q266" s="89" t="s">
        <v>630</v>
      </c>
      <c r="R266" s="89" t="s">
        <v>564</v>
      </c>
      <c r="S266" s="89"/>
      <c r="T266" s="89"/>
      <c r="U266" s="93"/>
      <c r="V266" s="93"/>
      <c r="W266" s="93"/>
      <c r="X266" s="89"/>
      <c r="Y266" s="89"/>
      <c r="Z266" s="89"/>
      <c r="AA266" s="89"/>
      <c r="AB266" s="93"/>
      <c r="AC266" s="93"/>
      <c r="AD266" s="89"/>
      <c r="AE266" s="89"/>
      <c r="AF266" s="89">
        <v>20</v>
      </c>
      <c r="AG266" s="89">
        <v>9</v>
      </c>
      <c r="AH266" s="89">
        <v>0</v>
      </c>
      <c r="AI266" s="89">
        <v>50</v>
      </c>
      <c r="AJ266" s="89">
        <v>0</v>
      </c>
      <c r="AK266" s="89">
        <v>0</v>
      </c>
      <c r="AL266" s="89">
        <v>1</v>
      </c>
      <c r="AM266" s="89">
        <v>1</v>
      </c>
      <c r="AN266" s="89">
        <v>30</v>
      </c>
      <c r="AO266" s="89">
        <v>2</v>
      </c>
      <c r="AP266" s="89">
        <v>35</v>
      </c>
      <c r="AQ266" s="89">
        <v>2</v>
      </c>
      <c r="AR266" s="89">
        <v>0</v>
      </c>
      <c r="AS266" s="89">
        <v>0.1</v>
      </c>
      <c r="AT266" s="89">
        <v>0</v>
      </c>
      <c r="AU266" s="89"/>
      <c r="AV266" s="104">
        <f>35*6</f>
        <v>210</v>
      </c>
      <c r="AW266" s="89" t="s">
        <v>372</v>
      </c>
      <c r="AX266" s="106" t="s">
        <v>373</v>
      </c>
      <c r="AY266" s="89" t="s">
        <v>359</v>
      </c>
      <c r="AZ266" s="89" t="s">
        <v>359</v>
      </c>
      <c r="BA266" s="89" t="s">
        <v>359</v>
      </c>
      <c r="BB266" s="89" t="s">
        <v>359</v>
      </c>
      <c r="BC266" s="89" t="s">
        <v>359</v>
      </c>
      <c r="BD266" s="89" t="s">
        <v>359</v>
      </c>
      <c r="BE266" s="89" t="s">
        <v>359</v>
      </c>
      <c r="BF266" s="89" t="s">
        <v>359</v>
      </c>
      <c r="BG266" s="89" t="s">
        <v>359</v>
      </c>
      <c r="BH266" s="89" t="s">
        <v>766</v>
      </c>
      <c r="BI266" s="89"/>
      <c r="BJ266" s="89"/>
      <c r="BK266" t="s">
        <v>2105</v>
      </c>
      <c r="BL266" t="s">
        <v>2116</v>
      </c>
      <c r="BM266" s="89" t="s">
        <v>1460</v>
      </c>
      <c r="BN266" s="89" t="b">
        <v>0</v>
      </c>
    </row>
    <row r="267" spans="1:66">
      <c r="A267">
        <v>111230</v>
      </c>
      <c r="B267" t="s">
        <v>238</v>
      </c>
      <c r="C267" t="s">
        <v>209</v>
      </c>
      <c r="D267" t="s">
        <v>2342</v>
      </c>
      <c r="E267" t="s">
        <v>2303</v>
      </c>
      <c r="F267" t="s">
        <v>762</v>
      </c>
      <c r="G267" t="s">
        <v>762</v>
      </c>
      <c r="H267" t="s">
        <v>969</v>
      </c>
      <c r="I267" t="s">
        <v>1460</v>
      </c>
      <c r="J267" t="s">
        <v>969</v>
      </c>
      <c r="L267">
        <v>68</v>
      </c>
      <c r="M267" t="s">
        <v>353</v>
      </c>
      <c r="O267">
        <v>68</v>
      </c>
      <c r="P267" t="s">
        <v>353</v>
      </c>
      <c r="Q267" t="s">
        <v>758</v>
      </c>
      <c r="R267" t="s">
        <v>564</v>
      </c>
      <c r="U267"/>
      <c r="V267"/>
      <c r="W267"/>
      <c r="AB267"/>
      <c r="AC267"/>
      <c r="AF267">
        <v>20</v>
      </c>
      <c r="AG267">
        <v>8</v>
      </c>
      <c r="AH267">
        <v>0</v>
      </c>
      <c r="AI267">
        <v>40</v>
      </c>
      <c r="AJ267">
        <v>0</v>
      </c>
      <c r="AK267">
        <v>0</v>
      </c>
      <c r="AL267">
        <v>2</v>
      </c>
      <c r="AM267">
        <v>0.5</v>
      </c>
      <c r="AN267">
        <v>130</v>
      </c>
      <c r="AO267">
        <v>2</v>
      </c>
      <c r="AP267">
        <v>30</v>
      </c>
      <c r="AQ267">
        <v>2</v>
      </c>
      <c r="AR267">
        <v>0</v>
      </c>
      <c r="AS267">
        <v>0</v>
      </c>
      <c r="AT267">
        <v>0</v>
      </c>
      <c r="AV267">
        <f>35*6</f>
        <v>210</v>
      </c>
      <c r="AW267" t="s">
        <v>372</v>
      </c>
      <c r="AX267" t="b">
        <v>1</v>
      </c>
      <c r="AZ267" t="s">
        <v>359</v>
      </c>
      <c r="BA267" t="s">
        <v>359</v>
      </c>
      <c r="BB267" t="s">
        <v>359</v>
      </c>
      <c r="BC267" t="s">
        <v>359</v>
      </c>
      <c r="BD267" t="s">
        <v>359</v>
      </c>
      <c r="BE267" t="s">
        <v>359</v>
      </c>
      <c r="BF267" t="s">
        <v>359</v>
      </c>
      <c r="BG267" t="s">
        <v>359</v>
      </c>
      <c r="BH267" t="s">
        <v>2343</v>
      </c>
      <c r="BK267" t="s">
        <v>2297</v>
      </c>
      <c r="BL267" t="s">
        <v>2298</v>
      </c>
      <c r="BM267" t="s">
        <v>1460</v>
      </c>
      <c r="BN267" t="b">
        <v>0</v>
      </c>
    </row>
    <row r="268" spans="1:66">
      <c r="A268" s="73">
        <v>111230</v>
      </c>
      <c r="B268" s="82" t="s">
        <v>238</v>
      </c>
      <c r="C268" s="82" t="s">
        <v>209</v>
      </c>
      <c r="D268" s="89" t="s">
        <v>1461</v>
      </c>
      <c r="E268" s="82" t="s">
        <v>570</v>
      </c>
      <c r="F268" s="82" t="s">
        <v>570</v>
      </c>
      <c r="G268" s="82" t="s">
        <v>544</v>
      </c>
      <c r="H268" s="82" t="s">
        <v>1462</v>
      </c>
      <c r="I268" s="82" t="s">
        <v>1463</v>
      </c>
      <c r="J268" s="82" t="s">
        <v>1464</v>
      </c>
      <c r="K268" s="82"/>
      <c r="L268" s="101">
        <v>90</v>
      </c>
      <c r="M268" s="82" t="s">
        <v>353</v>
      </c>
      <c r="N268" s="82" t="s">
        <v>354</v>
      </c>
      <c r="O268" s="101">
        <v>100</v>
      </c>
      <c r="P268" s="82" t="s">
        <v>353</v>
      </c>
      <c r="Q268" s="82" t="s">
        <v>885</v>
      </c>
      <c r="R268" s="82" t="s">
        <v>1102</v>
      </c>
      <c r="S268" s="82"/>
      <c r="T268" s="82"/>
      <c r="U268" s="82"/>
      <c r="V268" s="82"/>
      <c r="W268" s="82"/>
      <c r="X268" s="82"/>
      <c r="Y268" s="82"/>
      <c r="Z268" s="82"/>
      <c r="AA268" s="82"/>
      <c r="AB268" s="82"/>
      <c r="AC268" s="82"/>
      <c r="AD268" s="82"/>
      <c r="AE268" s="82"/>
      <c r="AF268" s="82">
        <v>0</v>
      </c>
      <c r="AG268" s="82">
        <v>11</v>
      </c>
      <c r="AH268" s="82">
        <v>0</v>
      </c>
      <c r="AI268" s="82">
        <v>50</v>
      </c>
      <c r="AJ268" s="82">
        <v>0</v>
      </c>
      <c r="AK268" s="82">
        <v>0</v>
      </c>
      <c r="AL268" s="82">
        <v>3</v>
      </c>
      <c r="AM268" s="82">
        <v>0.5</v>
      </c>
      <c r="AN268" s="82">
        <v>100</v>
      </c>
      <c r="AO268" s="82">
        <v>2</v>
      </c>
      <c r="AP268" s="82">
        <v>15</v>
      </c>
      <c r="AQ268" s="82">
        <v>4</v>
      </c>
      <c r="AR268" s="82">
        <v>0</v>
      </c>
      <c r="AS268" s="82">
        <v>0</v>
      </c>
      <c r="AT268" s="82">
        <v>0</v>
      </c>
      <c r="AU268" s="82" t="s">
        <v>502</v>
      </c>
      <c r="AV268" s="101">
        <f>25*6</f>
        <v>150</v>
      </c>
      <c r="AW268" s="82" t="s">
        <v>372</v>
      </c>
      <c r="AX268" s="107" t="b">
        <v>1</v>
      </c>
      <c r="AY268" s="82" t="s">
        <v>359</v>
      </c>
      <c r="AZ268" s="82" t="s">
        <v>359</v>
      </c>
      <c r="BA268" s="82" t="s">
        <v>359</v>
      </c>
      <c r="BB268" s="82" t="s">
        <v>359</v>
      </c>
      <c r="BC268" s="82" t="s">
        <v>359</v>
      </c>
      <c r="BD268" s="82" t="s">
        <v>359</v>
      </c>
      <c r="BE268" s="82" t="s">
        <v>359</v>
      </c>
      <c r="BF268" s="82" t="s">
        <v>359</v>
      </c>
      <c r="BG268" s="82" t="s">
        <v>359</v>
      </c>
      <c r="BH268" s="82" t="s">
        <v>547</v>
      </c>
      <c r="BI268" s="82"/>
      <c r="BJ268" s="82"/>
      <c r="BK268" s="74">
        <v>45323.362800925926</v>
      </c>
      <c r="BL268" s="74">
        <v>45313.638425925928</v>
      </c>
      <c r="BM268" s="82" t="s">
        <v>1465</v>
      </c>
      <c r="BN268" s="82" t="b">
        <v>0</v>
      </c>
    </row>
    <row r="269" spans="1:66">
      <c r="A269" s="100">
        <v>111361</v>
      </c>
      <c r="B269" s="89" t="s">
        <v>2135</v>
      </c>
      <c r="C269" s="89" t="s">
        <v>189</v>
      </c>
      <c r="D269" s="89" t="s">
        <v>1466</v>
      </c>
      <c r="E269" s="89" t="s">
        <v>468</v>
      </c>
      <c r="F269" s="89" t="s">
        <v>469</v>
      </c>
      <c r="G269" s="89" t="s">
        <v>469</v>
      </c>
      <c r="H269" s="89" t="s">
        <v>1467</v>
      </c>
      <c r="I269" s="89" t="s">
        <v>1468</v>
      </c>
      <c r="J269" s="89" t="s">
        <v>472</v>
      </c>
      <c r="K269" s="89" t="s">
        <v>370</v>
      </c>
      <c r="L269" s="104">
        <v>112</v>
      </c>
      <c r="M269" s="89" t="s">
        <v>353</v>
      </c>
      <c r="N269" s="89" t="s">
        <v>354</v>
      </c>
      <c r="O269" s="104">
        <v>112</v>
      </c>
      <c r="P269" s="89" t="s">
        <v>353</v>
      </c>
      <c r="Q269" s="89" t="s">
        <v>541</v>
      </c>
      <c r="R269" s="89" t="s">
        <v>474</v>
      </c>
      <c r="S269" s="103" t="s">
        <v>1469</v>
      </c>
      <c r="T269" s="89"/>
      <c r="U269" s="93"/>
      <c r="V269" s="93"/>
      <c r="W269" s="93"/>
      <c r="X269" s="89"/>
      <c r="Y269" s="89"/>
      <c r="Z269" s="89"/>
      <c r="AA269" s="89"/>
      <c r="AB269" s="93"/>
      <c r="AC269" s="93"/>
      <c r="AD269" s="89"/>
      <c r="AE269" s="103" t="s">
        <v>1470</v>
      </c>
      <c r="AF269" s="89">
        <v>0</v>
      </c>
      <c r="AG269" s="89">
        <v>0</v>
      </c>
      <c r="AH269" s="89">
        <v>65</v>
      </c>
      <c r="AI269" s="89">
        <v>250</v>
      </c>
      <c r="AJ269" s="89">
        <v>6</v>
      </c>
      <c r="AK269" s="89"/>
      <c r="AL269" s="89">
        <v>0</v>
      </c>
      <c r="AM269" s="89">
        <v>1</v>
      </c>
      <c r="AN269" s="89"/>
      <c r="AO269" s="89">
        <v>19</v>
      </c>
      <c r="AP269" s="89">
        <v>70</v>
      </c>
      <c r="AQ269" s="89">
        <v>0</v>
      </c>
      <c r="AR269" s="89"/>
      <c r="AS269" s="89">
        <v>19</v>
      </c>
      <c r="AT269" s="89"/>
      <c r="AU269" s="89" t="s">
        <v>524</v>
      </c>
      <c r="AV269" s="104" t="s">
        <v>1471</v>
      </c>
      <c r="AW269" s="89" t="s">
        <v>358</v>
      </c>
      <c r="AX269" s="106" t="s">
        <v>373</v>
      </c>
      <c r="AY269" s="82" t="s">
        <v>476</v>
      </c>
      <c r="AZ269" s="82" t="s">
        <v>476</v>
      </c>
      <c r="BA269" s="82" t="s">
        <v>476</v>
      </c>
      <c r="BB269" s="82" t="s">
        <v>476</v>
      </c>
      <c r="BC269" s="82" t="s">
        <v>476</v>
      </c>
      <c r="BD269" s="82" t="s">
        <v>476</v>
      </c>
      <c r="BE269" s="82" t="s">
        <v>476</v>
      </c>
      <c r="BF269" s="82" t="s">
        <v>476</v>
      </c>
      <c r="BG269" s="82" t="s">
        <v>476</v>
      </c>
      <c r="BH269" s="89" t="s">
        <v>361</v>
      </c>
      <c r="BI269" s="89"/>
      <c r="BJ269" s="89"/>
      <c r="BK269" s="74">
        <v>45323.38652777778</v>
      </c>
      <c r="BL269" s="74">
        <v>45304.198761574073</v>
      </c>
      <c r="BM269" s="89" t="s">
        <v>1472</v>
      </c>
      <c r="BN269" s="89" t="b">
        <v>0</v>
      </c>
    </row>
    <row r="270" spans="1:66">
      <c r="A270" s="73">
        <v>111750</v>
      </c>
      <c r="B270" s="89" t="s">
        <v>240</v>
      </c>
      <c r="C270" s="89" t="s">
        <v>239</v>
      </c>
      <c r="D270" s="89" t="s">
        <v>1503</v>
      </c>
      <c r="E270" s="89" t="s">
        <v>1211</v>
      </c>
      <c r="F270" s="89" t="s">
        <v>1212</v>
      </c>
      <c r="G270" s="89" t="s">
        <v>1212</v>
      </c>
      <c r="H270" s="89" t="s">
        <v>1504</v>
      </c>
      <c r="I270" s="89" t="s">
        <v>1505</v>
      </c>
      <c r="J270" s="89" t="s">
        <v>239</v>
      </c>
      <c r="K270" s="89"/>
      <c r="L270" s="89">
        <v>170</v>
      </c>
      <c r="M270" s="89" t="s">
        <v>353</v>
      </c>
      <c r="N270" s="89" t="s">
        <v>354</v>
      </c>
      <c r="O270" s="89">
        <v>170</v>
      </c>
      <c r="P270" s="89" t="s">
        <v>353</v>
      </c>
      <c r="Q270" s="89" t="s">
        <v>638</v>
      </c>
      <c r="R270" s="89" t="s">
        <v>356</v>
      </c>
      <c r="S270" s="89"/>
      <c r="T270" s="89"/>
      <c r="U270" s="93"/>
      <c r="V270" s="93"/>
      <c r="W270" s="93"/>
      <c r="X270" s="89"/>
      <c r="Y270" s="89"/>
      <c r="Z270" s="89"/>
      <c r="AA270" s="89"/>
      <c r="AB270" s="93"/>
      <c r="AC270" s="93"/>
      <c r="AD270" s="89"/>
      <c r="AE270" s="89"/>
      <c r="AF270" s="89">
        <v>170</v>
      </c>
      <c r="AG270" s="89">
        <v>17</v>
      </c>
      <c r="AH270" s="89">
        <v>10</v>
      </c>
      <c r="AI270" s="89">
        <v>130</v>
      </c>
      <c r="AJ270" s="89">
        <v>0</v>
      </c>
      <c r="AK270" s="89">
        <v>0</v>
      </c>
      <c r="AL270" s="89">
        <v>0</v>
      </c>
      <c r="AM270" s="89">
        <v>0.2</v>
      </c>
      <c r="AN270" s="89">
        <v>220</v>
      </c>
      <c r="AO270" s="89">
        <v>14</v>
      </c>
      <c r="AP270" s="89">
        <v>60</v>
      </c>
      <c r="AQ270" s="89">
        <v>16</v>
      </c>
      <c r="AR270" s="89">
        <v>11</v>
      </c>
      <c r="AS270" s="89">
        <v>0</v>
      </c>
      <c r="AT270" s="89">
        <v>0</v>
      </c>
      <c r="AU270" s="89"/>
      <c r="AV270" s="100">
        <v>30</v>
      </c>
      <c r="AW270" s="89" t="s">
        <v>372</v>
      </c>
      <c r="AX270" s="89"/>
      <c r="AY270" s="89" t="s">
        <v>359</v>
      </c>
      <c r="AZ270" s="89" t="s">
        <v>359</v>
      </c>
      <c r="BA270" s="89" t="s">
        <v>360</v>
      </c>
      <c r="BB270" s="89" t="s">
        <v>359</v>
      </c>
      <c r="BC270" s="89" t="s">
        <v>359</v>
      </c>
      <c r="BD270" s="89" t="s">
        <v>359</v>
      </c>
      <c r="BE270" s="89" t="s">
        <v>359</v>
      </c>
      <c r="BF270" s="89" t="s">
        <v>359</v>
      </c>
      <c r="BG270" s="89" t="s">
        <v>359</v>
      </c>
      <c r="BH270" s="89" t="s">
        <v>1506</v>
      </c>
      <c r="BI270" s="89" t="s">
        <v>656</v>
      </c>
      <c r="BJ270" s="89"/>
      <c r="BK270" s="74">
        <v>45078.387071759258</v>
      </c>
      <c r="BL270" s="74">
        <v>45070.543055555558</v>
      </c>
      <c r="BM270" s="89" t="s">
        <v>1507</v>
      </c>
      <c r="BN270" s="89" t="b">
        <v>0</v>
      </c>
    </row>
    <row r="271" spans="1:66">
      <c r="A271" s="73">
        <v>111750</v>
      </c>
      <c r="B271" s="89" t="s">
        <v>240</v>
      </c>
      <c r="C271" s="89" t="s">
        <v>239</v>
      </c>
      <c r="D271" s="89" t="s">
        <v>1508</v>
      </c>
      <c r="E271" s="89" t="s">
        <v>1509</v>
      </c>
      <c r="F271" s="89" t="s">
        <v>1510</v>
      </c>
      <c r="G271" s="89" t="s">
        <v>1510</v>
      </c>
      <c r="H271" s="89" t="s">
        <v>1511</v>
      </c>
      <c r="I271" s="89" t="s">
        <v>1512</v>
      </c>
      <c r="J271" s="89" t="s">
        <v>1513</v>
      </c>
      <c r="K271" s="89"/>
      <c r="L271" s="89">
        <v>170</v>
      </c>
      <c r="M271" s="89" t="s">
        <v>353</v>
      </c>
      <c r="N271" s="89" t="s">
        <v>354</v>
      </c>
      <c r="O271" s="89">
        <v>170</v>
      </c>
      <c r="P271" s="89" t="s">
        <v>353</v>
      </c>
      <c r="Q271" s="89" t="s">
        <v>638</v>
      </c>
      <c r="R271" s="89" t="s">
        <v>371</v>
      </c>
      <c r="S271" s="89"/>
      <c r="T271" s="89"/>
      <c r="U271" s="89"/>
      <c r="V271" s="89"/>
      <c r="W271" s="89"/>
      <c r="X271" s="89"/>
      <c r="Y271" s="89"/>
      <c r="Z271" s="89"/>
      <c r="AA271" s="89"/>
      <c r="AB271" s="89"/>
      <c r="AC271" s="89"/>
      <c r="AD271" s="89"/>
      <c r="AE271" s="89"/>
      <c r="AF271" s="89">
        <v>170</v>
      </c>
      <c r="AG271" s="89">
        <v>18</v>
      </c>
      <c r="AH271" s="89">
        <v>10</v>
      </c>
      <c r="AI271" s="89">
        <v>130</v>
      </c>
      <c r="AJ271" s="89">
        <v>0</v>
      </c>
      <c r="AK271" s="89">
        <v>0</v>
      </c>
      <c r="AL271" s="89">
        <v>1</v>
      </c>
      <c r="AM271" s="89">
        <v>0.1</v>
      </c>
      <c r="AN271" s="89">
        <v>210</v>
      </c>
      <c r="AO271" s="89">
        <v>15</v>
      </c>
      <c r="AP271" s="89">
        <v>50</v>
      </c>
      <c r="AQ271" s="89">
        <v>15</v>
      </c>
      <c r="AR271" s="89">
        <v>10</v>
      </c>
      <c r="AS271" s="89">
        <v>0</v>
      </c>
      <c r="AT271" s="89">
        <v>0</v>
      </c>
      <c r="AU271" s="89" t="s">
        <v>357</v>
      </c>
      <c r="AV271" s="100">
        <f>5*6</f>
        <v>30</v>
      </c>
      <c r="AW271" s="89" t="s">
        <v>372</v>
      </c>
      <c r="AX271" s="89" t="b">
        <v>1</v>
      </c>
      <c r="AY271" s="89" t="s">
        <v>359</v>
      </c>
      <c r="AZ271" s="89" t="s">
        <v>359</v>
      </c>
      <c r="BA271" s="89" t="s">
        <v>360</v>
      </c>
      <c r="BB271" s="89" t="s">
        <v>359</v>
      </c>
      <c r="BC271" s="89" t="s">
        <v>359</v>
      </c>
      <c r="BD271" s="89" t="s">
        <v>359</v>
      </c>
      <c r="BE271" s="89" t="s">
        <v>359</v>
      </c>
      <c r="BF271" s="89" t="s">
        <v>359</v>
      </c>
      <c r="BG271" s="89" t="s">
        <v>359</v>
      </c>
      <c r="BH271" s="89" t="s">
        <v>1514</v>
      </c>
      <c r="BI271" s="89" t="s">
        <v>1515</v>
      </c>
      <c r="BJ271" s="89"/>
      <c r="BK271" s="74">
        <v>45019.670069444437</v>
      </c>
      <c r="BL271" s="74">
        <v>45163.681944444441</v>
      </c>
      <c r="BM271" s="82" t="s">
        <v>1516</v>
      </c>
      <c r="BN271" s="83" t="b">
        <v>0</v>
      </c>
    </row>
    <row r="272" spans="1:66">
      <c r="A272" s="85">
        <v>111751</v>
      </c>
      <c r="B272" s="89" t="s">
        <v>89</v>
      </c>
      <c r="C272" s="89" t="s">
        <v>85</v>
      </c>
      <c r="D272" s="89" t="s">
        <v>1473</v>
      </c>
      <c r="E272" s="89" t="s">
        <v>1474</v>
      </c>
      <c r="F272" s="89" t="s">
        <v>1475</v>
      </c>
      <c r="G272" s="89" t="s">
        <v>1475</v>
      </c>
      <c r="H272" s="89" t="s">
        <v>1476</v>
      </c>
      <c r="I272" s="89" t="s">
        <v>1477</v>
      </c>
      <c r="J272" s="89" t="s">
        <v>1478</v>
      </c>
      <c r="K272" s="89" t="s">
        <v>370</v>
      </c>
      <c r="L272" s="89">
        <v>35</v>
      </c>
      <c r="M272" s="89" t="s">
        <v>353</v>
      </c>
      <c r="N272" s="89" t="s">
        <v>354</v>
      </c>
      <c r="O272" s="89">
        <v>1.25</v>
      </c>
      <c r="P272" s="89" t="s">
        <v>788</v>
      </c>
      <c r="Q272" s="82" t="s">
        <v>1982</v>
      </c>
      <c r="R272" s="89" t="s">
        <v>356</v>
      </c>
      <c r="S272" s="103" t="s">
        <v>1480</v>
      </c>
      <c r="T272" s="89">
        <v>97158</v>
      </c>
      <c r="U272" s="89" t="s">
        <v>432</v>
      </c>
      <c r="V272" s="89" t="s">
        <v>1481</v>
      </c>
      <c r="W272" s="89" t="s">
        <v>1481</v>
      </c>
      <c r="X272" s="89" t="s">
        <v>1482</v>
      </c>
      <c r="Y272" s="82" t="s">
        <v>2021</v>
      </c>
      <c r="Z272" s="74">
        <v>46888</v>
      </c>
      <c r="AA272" s="89"/>
      <c r="AB272" s="89"/>
      <c r="AC272" s="89"/>
      <c r="AD272" s="89"/>
      <c r="AE272" s="89"/>
      <c r="AF272" s="89">
        <v>19</v>
      </c>
      <c r="AG272" s="89">
        <v>1</v>
      </c>
      <c r="AH272" s="89">
        <v>125</v>
      </c>
      <c r="AI272" s="89">
        <v>50</v>
      </c>
      <c r="AJ272" s="89">
        <v>1</v>
      </c>
      <c r="AK272" s="89">
        <v>0</v>
      </c>
      <c r="AL272" s="89">
        <v>0</v>
      </c>
      <c r="AM272" s="89">
        <v>1</v>
      </c>
      <c r="AN272" s="89">
        <v>47</v>
      </c>
      <c r="AO272" s="89">
        <v>4</v>
      </c>
      <c r="AP272" s="89">
        <v>50</v>
      </c>
      <c r="AQ272" s="89">
        <v>0</v>
      </c>
      <c r="AR272" s="89">
        <v>0</v>
      </c>
      <c r="AS272" s="89">
        <v>3</v>
      </c>
      <c r="AT272" s="89">
        <v>1</v>
      </c>
      <c r="AU272" s="89" t="s">
        <v>502</v>
      </c>
      <c r="AV272" s="104">
        <v>320</v>
      </c>
      <c r="AW272" s="89" t="s">
        <v>358</v>
      </c>
      <c r="AX272" s="106" t="b">
        <v>1</v>
      </c>
      <c r="AY272" s="89" t="s">
        <v>360</v>
      </c>
      <c r="AZ272" s="89" t="s">
        <v>359</v>
      </c>
      <c r="BA272" s="89" t="s">
        <v>359</v>
      </c>
      <c r="BB272" s="89" t="s">
        <v>359</v>
      </c>
      <c r="BC272" s="89" t="s">
        <v>359</v>
      </c>
      <c r="BD272" s="89" t="s">
        <v>359</v>
      </c>
      <c r="BE272" s="89" t="s">
        <v>359</v>
      </c>
      <c r="BF272" s="89" t="s">
        <v>359</v>
      </c>
      <c r="BG272" s="89" t="s">
        <v>359</v>
      </c>
      <c r="BH272" s="89" t="s">
        <v>1309</v>
      </c>
      <c r="BI272" s="89"/>
      <c r="BJ272" s="89"/>
      <c r="BK272" s="82" t="s">
        <v>2018</v>
      </c>
      <c r="BL272" s="82" t="s">
        <v>2022</v>
      </c>
      <c r="BM272" s="89" t="s">
        <v>1483</v>
      </c>
      <c r="BN272" s="89" t="b">
        <v>0</v>
      </c>
    </row>
    <row r="273" spans="1:66">
      <c r="A273" s="85">
        <v>111751</v>
      </c>
      <c r="B273" s="89" t="s">
        <v>89</v>
      </c>
      <c r="C273" s="89" t="s">
        <v>85</v>
      </c>
      <c r="D273" s="89" t="s">
        <v>1484</v>
      </c>
      <c r="E273" s="89" t="s">
        <v>1205</v>
      </c>
      <c r="F273" s="89" t="s">
        <v>1205</v>
      </c>
      <c r="G273" s="89" t="s">
        <v>1205</v>
      </c>
      <c r="H273" s="89" t="s">
        <v>1485</v>
      </c>
      <c r="I273" s="89" t="s">
        <v>1486</v>
      </c>
      <c r="J273" s="89" t="s">
        <v>1486</v>
      </c>
      <c r="K273" s="89" t="s">
        <v>370</v>
      </c>
      <c r="L273" s="89">
        <v>35</v>
      </c>
      <c r="M273" s="89" t="s">
        <v>353</v>
      </c>
      <c r="N273" s="89" t="s">
        <v>354</v>
      </c>
      <c r="O273" s="89">
        <v>35</v>
      </c>
      <c r="P273" s="89" t="s">
        <v>353</v>
      </c>
      <c r="Q273" s="89" t="s">
        <v>1479</v>
      </c>
      <c r="R273" s="89" t="s">
        <v>356</v>
      </c>
      <c r="S273" s="103" t="s">
        <v>1487</v>
      </c>
      <c r="T273" s="89"/>
      <c r="U273" s="93"/>
      <c r="V273" s="93"/>
      <c r="W273" s="93"/>
      <c r="X273" s="89"/>
      <c r="Y273" s="103" t="s">
        <v>1488</v>
      </c>
      <c r="Z273" s="89"/>
      <c r="AA273" s="89"/>
      <c r="AB273" s="93"/>
      <c r="AC273" s="93"/>
      <c r="AD273" s="89"/>
      <c r="AE273" s="89"/>
      <c r="AF273" s="89">
        <v>23</v>
      </c>
      <c r="AG273" s="89">
        <v>1</v>
      </c>
      <c r="AH273" s="89">
        <v>120</v>
      </c>
      <c r="AI273" s="89">
        <v>50</v>
      </c>
      <c r="AJ273" s="89">
        <v>0</v>
      </c>
      <c r="AK273" s="89">
        <v>0</v>
      </c>
      <c r="AL273" s="89">
        <v>0</v>
      </c>
      <c r="AM273" s="89">
        <v>1</v>
      </c>
      <c r="AN273" s="89">
        <v>53</v>
      </c>
      <c r="AO273" s="89">
        <v>4</v>
      </c>
      <c r="AP273" s="89">
        <v>50</v>
      </c>
      <c r="AQ273" s="89">
        <v>0</v>
      </c>
      <c r="AR273" s="89">
        <v>0</v>
      </c>
      <c r="AS273" s="89">
        <v>3</v>
      </c>
      <c r="AT273" s="89">
        <v>1</v>
      </c>
      <c r="AU273" s="89"/>
      <c r="AV273" s="89" t="s">
        <v>522</v>
      </c>
      <c r="AW273" s="89" t="s">
        <v>358</v>
      </c>
      <c r="AX273" s="89" t="s">
        <v>373</v>
      </c>
      <c r="AY273" s="89" t="s">
        <v>360</v>
      </c>
      <c r="AZ273" s="89"/>
      <c r="BA273" s="89" t="s">
        <v>360</v>
      </c>
      <c r="BB273" s="89"/>
      <c r="BC273" s="89"/>
      <c r="BD273" s="89"/>
      <c r="BE273" s="89"/>
      <c r="BF273" s="89"/>
      <c r="BG273" s="89"/>
      <c r="BH273" s="89" t="s">
        <v>1489</v>
      </c>
      <c r="BI273" s="89"/>
      <c r="BJ273" s="89"/>
      <c r="BK273" s="74">
        <v>45078.376921296287</v>
      </c>
      <c r="BL273" s="74">
        <v>45061.618587962963</v>
      </c>
      <c r="BM273" s="89" t="s">
        <v>1490</v>
      </c>
      <c r="BN273" s="89" t="b">
        <v>0</v>
      </c>
    </row>
    <row r="274" spans="1:66" ht="28.8">
      <c r="A274" s="85">
        <v>111751</v>
      </c>
      <c r="B274" s="89" t="s">
        <v>89</v>
      </c>
      <c r="C274" s="89" t="s">
        <v>85</v>
      </c>
      <c r="D274" s="89" t="s">
        <v>1491</v>
      </c>
      <c r="E274" s="89" t="s">
        <v>1492</v>
      </c>
      <c r="F274" s="89" t="s">
        <v>1493</v>
      </c>
      <c r="G274" s="89" t="s">
        <v>1494</v>
      </c>
      <c r="H274" s="89" t="s">
        <v>1495</v>
      </c>
      <c r="I274" s="89" t="s">
        <v>1496</v>
      </c>
      <c r="J274" s="89" t="s">
        <v>1497</v>
      </c>
      <c r="K274" s="89"/>
      <c r="L274" s="89">
        <v>35</v>
      </c>
      <c r="M274" s="89" t="s">
        <v>353</v>
      </c>
      <c r="N274" s="89" t="s">
        <v>419</v>
      </c>
      <c r="O274" s="89">
        <v>35</v>
      </c>
      <c r="P274" s="89" t="s">
        <v>353</v>
      </c>
      <c r="Q274" s="89" t="s">
        <v>1479</v>
      </c>
      <c r="R274" s="89" t="s">
        <v>474</v>
      </c>
      <c r="S274" s="103" t="s">
        <v>1498</v>
      </c>
      <c r="T274" s="89">
        <v>98863</v>
      </c>
      <c r="U274" s="93" t="s">
        <v>432</v>
      </c>
      <c r="V274" s="93" t="s">
        <v>1481</v>
      </c>
      <c r="W274" s="93" t="s">
        <v>1481</v>
      </c>
      <c r="X274" s="89" t="s">
        <v>1499</v>
      </c>
      <c r="Y274" s="103" t="s">
        <v>1500</v>
      </c>
      <c r="Z274" s="89"/>
      <c r="AA274" s="89"/>
      <c r="AB274" s="93"/>
      <c r="AC274" s="93"/>
      <c r="AD274" s="89"/>
      <c r="AE274" s="89"/>
      <c r="AF274" s="89">
        <v>20</v>
      </c>
      <c r="AG274" s="89">
        <v>1</v>
      </c>
      <c r="AH274" s="89">
        <v>125</v>
      </c>
      <c r="AI274" s="89">
        <v>60</v>
      </c>
      <c r="AJ274" s="89">
        <v>1</v>
      </c>
      <c r="AK274" s="89">
        <v>0</v>
      </c>
      <c r="AL274" s="89">
        <v>0</v>
      </c>
      <c r="AM274" s="89">
        <v>0.6</v>
      </c>
      <c r="AN274" s="89">
        <v>60</v>
      </c>
      <c r="AO274" s="89">
        <v>4</v>
      </c>
      <c r="AP274" s="89">
        <v>50</v>
      </c>
      <c r="AQ274" s="89">
        <v>0</v>
      </c>
      <c r="AR274" s="89">
        <v>0</v>
      </c>
      <c r="AS274" s="89">
        <v>4.5</v>
      </c>
      <c r="AT274" s="89">
        <v>0.7</v>
      </c>
      <c r="AU274" s="89"/>
      <c r="AV274" s="89" t="s">
        <v>522</v>
      </c>
      <c r="AW274" s="89" t="s">
        <v>358</v>
      </c>
      <c r="AX274" s="89" t="s">
        <v>373</v>
      </c>
      <c r="AY274" s="89" t="s">
        <v>360</v>
      </c>
      <c r="AZ274" s="89" t="s">
        <v>359</v>
      </c>
      <c r="BA274" s="89" t="s">
        <v>360</v>
      </c>
      <c r="BB274" s="89" t="s">
        <v>359</v>
      </c>
      <c r="BC274" s="89" t="s">
        <v>359</v>
      </c>
      <c r="BD274" s="89" t="s">
        <v>359</v>
      </c>
      <c r="BE274" s="89" t="s">
        <v>359</v>
      </c>
      <c r="BF274" s="89" t="s">
        <v>359</v>
      </c>
      <c r="BG274" s="89" t="s">
        <v>359</v>
      </c>
      <c r="BH274" s="89" t="s">
        <v>1501</v>
      </c>
      <c r="BI274" s="89"/>
      <c r="BJ274" s="89"/>
      <c r="BK274" s="74">
        <v>44823.221851851849</v>
      </c>
      <c r="BL274" s="74">
        <v>44620.454247685193</v>
      </c>
      <c r="BM274" s="89" t="s">
        <v>1502</v>
      </c>
      <c r="BN274" s="89" t="b">
        <v>1</v>
      </c>
    </row>
    <row r="275" spans="1:66">
      <c r="A275" s="83">
        <v>111893</v>
      </c>
      <c r="B275" s="83" t="s">
        <v>207</v>
      </c>
      <c r="C275" s="83" t="s">
        <v>189</v>
      </c>
      <c r="D275" s="83" t="s">
        <v>2058</v>
      </c>
      <c r="E275" s="83" t="s">
        <v>598</v>
      </c>
      <c r="F275" s="83" t="s">
        <v>599</v>
      </c>
      <c r="G275" s="83" t="s">
        <v>600</v>
      </c>
      <c r="H275" s="83" t="s">
        <v>2059</v>
      </c>
      <c r="I275" s="83" t="s">
        <v>2060</v>
      </c>
      <c r="J275" s="83" t="s">
        <v>601</v>
      </c>
      <c r="K275" s="83" t="s">
        <v>370</v>
      </c>
      <c r="L275">
        <v>57</v>
      </c>
      <c r="M275" t="s">
        <v>353</v>
      </c>
      <c r="N275" t="s">
        <v>354</v>
      </c>
      <c r="O275">
        <v>57</v>
      </c>
      <c r="P275" t="s">
        <v>353</v>
      </c>
      <c r="Q275" s="82" t="s">
        <v>602</v>
      </c>
      <c r="R275" s="83" t="s">
        <v>356</v>
      </c>
      <c r="S275" s="83"/>
      <c r="T275" s="83"/>
      <c r="U275" s="84"/>
      <c r="V275" s="84"/>
      <c r="W275" s="84"/>
      <c r="X275" s="83"/>
      <c r="Y275" s="83"/>
      <c r="Z275" s="83"/>
      <c r="AA275" t="s">
        <v>603</v>
      </c>
      <c r="AB275" t="s">
        <v>432</v>
      </c>
      <c r="AC275" t="s">
        <v>2054</v>
      </c>
      <c r="AD275" t="s">
        <v>2054</v>
      </c>
      <c r="AE275" s="83"/>
      <c r="AF275">
        <v>0</v>
      </c>
      <c r="AG275">
        <v>2</v>
      </c>
      <c r="AH275">
        <v>20</v>
      </c>
      <c r="AI275">
        <v>60</v>
      </c>
      <c r="AJ275">
        <v>0</v>
      </c>
      <c r="AK275">
        <v>0</v>
      </c>
      <c r="AL275">
        <v>0</v>
      </c>
      <c r="AM275">
        <v>0</v>
      </c>
      <c r="AN275">
        <v>0</v>
      </c>
      <c r="AO275">
        <v>9</v>
      </c>
      <c r="AP275">
        <v>330</v>
      </c>
      <c r="AQ275">
        <v>2</v>
      </c>
      <c r="AR275">
        <v>0</v>
      </c>
      <c r="AS275">
        <v>1.5</v>
      </c>
      <c r="AT275">
        <v>0</v>
      </c>
      <c r="AU275" s="83"/>
      <c r="AV275" s="83" t="s">
        <v>522</v>
      </c>
      <c r="AW275" s="83" t="s">
        <v>358</v>
      </c>
      <c r="AX275" s="83"/>
      <c r="AY275" s="83" t="s">
        <v>359</v>
      </c>
      <c r="AZ275" s="83" t="s">
        <v>359</v>
      </c>
      <c r="BA275" s="83" t="s">
        <v>359</v>
      </c>
      <c r="BB275" s="83" t="s">
        <v>359</v>
      </c>
      <c r="BC275" s="83" t="s">
        <v>359</v>
      </c>
      <c r="BD275" s="83" t="s">
        <v>359</v>
      </c>
      <c r="BE275" s="83" t="s">
        <v>359</v>
      </c>
      <c r="BF275" s="83" t="s">
        <v>359</v>
      </c>
      <c r="BG275" s="83" t="s">
        <v>359</v>
      </c>
      <c r="BH275" s="83" t="s">
        <v>2055</v>
      </c>
      <c r="BI275" s="83"/>
      <c r="BJ275" s="83"/>
      <c r="BK275" t="s">
        <v>1909</v>
      </c>
      <c r="BL275" t="s">
        <v>2061</v>
      </c>
      <c r="BM275" s="83" t="s">
        <v>2057</v>
      </c>
      <c r="BN275" s="83" t="b">
        <v>0</v>
      </c>
    </row>
    <row r="276" spans="1:66">
      <c r="A276" s="100" t="s">
        <v>2290</v>
      </c>
      <c r="B276" s="89" t="s">
        <v>206</v>
      </c>
      <c r="C276" s="89" t="s">
        <v>189</v>
      </c>
      <c r="D276" s="89" t="s">
        <v>1397</v>
      </c>
      <c r="E276" s="89" t="s">
        <v>495</v>
      </c>
      <c r="F276" s="89" t="s">
        <v>496</v>
      </c>
      <c r="G276" s="89" t="s">
        <v>496</v>
      </c>
      <c r="H276" s="89" t="s">
        <v>1398</v>
      </c>
      <c r="I276" s="89" t="s">
        <v>1399</v>
      </c>
      <c r="J276" s="89" t="s">
        <v>499</v>
      </c>
      <c r="K276" s="89" t="s">
        <v>500</v>
      </c>
      <c r="L276" s="89">
        <v>56</v>
      </c>
      <c r="M276" s="89" t="s">
        <v>353</v>
      </c>
      <c r="N276" s="89" t="s">
        <v>354</v>
      </c>
      <c r="O276" s="89">
        <v>56</v>
      </c>
      <c r="P276" s="89" t="s">
        <v>353</v>
      </c>
      <c r="Q276" s="89" t="s">
        <v>501</v>
      </c>
      <c r="R276" s="89" t="s">
        <v>356</v>
      </c>
      <c r="S276" s="89" t="s">
        <v>475</v>
      </c>
      <c r="T276" s="89"/>
      <c r="U276" s="93"/>
      <c r="V276" s="93"/>
      <c r="W276" s="93"/>
      <c r="X276" s="89"/>
      <c r="Y276" s="89"/>
      <c r="Z276" s="89"/>
      <c r="AA276" s="89"/>
      <c r="AB276" s="93"/>
      <c r="AC276" s="93"/>
      <c r="AD276" s="89"/>
      <c r="AE276" s="89"/>
      <c r="AF276" s="89">
        <v>0</v>
      </c>
      <c r="AG276" s="89">
        <v>1</v>
      </c>
      <c r="AH276" s="89">
        <v>25</v>
      </c>
      <c r="AI276" s="89">
        <v>60</v>
      </c>
      <c r="AJ276" s="89">
        <v>0</v>
      </c>
      <c r="AK276" s="89">
        <v>0</v>
      </c>
      <c r="AL276" s="89">
        <v>0</v>
      </c>
      <c r="AM276" s="89"/>
      <c r="AN276" s="89"/>
      <c r="AO276" s="89">
        <v>12</v>
      </c>
      <c r="AP276" s="89">
        <v>320</v>
      </c>
      <c r="AQ276" s="89">
        <v>0</v>
      </c>
      <c r="AR276" s="89"/>
      <c r="AS276" s="89">
        <v>1</v>
      </c>
      <c r="AT276" s="89"/>
      <c r="AU276" s="89" t="s">
        <v>502</v>
      </c>
      <c r="AV276" s="89" t="s">
        <v>522</v>
      </c>
      <c r="AW276" s="89" t="s">
        <v>358</v>
      </c>
      <c r="AX276" s="89" t="s">
        <v>373</v>
      </c>
      <c r="AY276" s="89" t="s">
        <v>359</v>
      </c>
      <c r="AZ276" s="89" t="s">
        <v>359</v>
      </c>
      <c r="BA276" s="89" t="s">
        <v>359</v>
      </c>
      <c r="BB276" s="89" t="s">
        <v>359</v>
      </c>
      <c r="BC276" s="89" t="s">
        <v>359</v>
      </c>
      <c r="BD276" s="89" t="s">
        <v>359</v>
      </c>
      <c r="BE276" s="89" t="s">
        <v>359</v>
      </c>
      <c r="BF276" s="89" t="s">
        <v>359</v>
      </c>
      <c r="BG276" s="89" t="s">
        <v>359</v>
      </c>
      <c r="BH276" s="89" t="s">
        <v>361</v>
      </c>
      <c r="BI276" s="89"/>
      <c r="BJ276" s="89"/>
      <c r="BK276" s="74">
        <v>45078.383981481478</v>
      </c>
      <c r="BL276" s="74">
        <v>45048.554745370369</v>
      </c>
      <c r="BM276" s="89" t="s">
        <v>1400</v>
      </c>
      <c r="BN276" s="89" t="b">
        <v>0</v>
      </c>
    </row>
    <row r="277" spans="1:66">
      <c r="A277" s="100" t="s">
        <v>2289</v>
      </c>
      <c r="B277" s="89" t="s">
        <v>205</v>
      </c>
      <c r="C277" s="89" t="s">
        <v>189</v>
      </c>
      <c r="D277" s="89" t="s">
        <v>1272</v>
      </c>
      <c r="E277" s="89" t="s">
        <v>1273</v>
      </c>
      <c r="F277" s="89" t="s">
        <v>1274</v>
      </c>
      <c r="G277" s="89" t="s">
        <v>1275</v>
      </c>
      <c r="H277" s="89" t="s">
        <v>1276</v>
      </c>
      <c r="I277" s="89" t="s">
        <v>1277</v>
      </c>
      <c r="J277" s="89" t="s">
        <v>1277</v>
      </c>
      <c r="K277" s="89"/>
      <c r="L277" s="89">
        <v>55</v>
      </c>
      <c r="M277" s="89" t="s">
        <v>353</v>
      </c>
      <c r="N277" s="89" t="s">
        <v>354</v>
      </c>
      <c r="O277" s="89">
        <v>55</v>
      </c>
      <c r="P277" s="89" t="s">
        <v>353</v>
      </c>
      <c r="Q277" s="89" t="s">
        <v>1278</v>
      </c>
      <c r="R277" s="89" t="s">
        <v>462</v>
      </c>
      <c r="S277" s="103" t="s">
        <v>1279</v>
      </c>
      <c r="T277" s="89"/>
      <c r="U277" s="93"/>
      <c r="V277" s="93"/>
      <c r="W277" s="93"/>
      <c r="X277" s="89"/>
      <c r="Y277" s="89"/>
      <c r="Z277" s="89"/>
      <c r="AA277" s="89"/>
      <c r="AB277" s="93"/>
      <c r="AC277" s="93"/>
      <c r="AD277" s="89"/>
      <c r="AE277" s="103" t="s">
        <v>1280</v>
      </c>
      <c r="AF277" s="89">
        <v>26</v>
      </c>
      <c r="AG277" s="89">
        <v>0</v>
      </c>
      <c r="AH277" s="89">
        <v>30</v>
      </c>
      <c r="AI277" s="89">
        <v>60</v>
      </c>
      <c r="AJ277" s="89">
        <v>0</v>
      </c>
      <c r="AK277" s="89">
        <v>0</v>
      </c>
      <c r="AL277" s="89">
        <v>0</v>
      </c>
      <c r="AM277" s="89">
        <v>0.36</v>
      </c>
      <c r="AN277" s="89">
        <v>0</v>
      </c>
      <c r="AO277" s="89">
        <v>1</v>
      </c>
      <c r="AP277" s="89">
        <v>310</v>
      </c>
      <c r="AQ277" s="89">
        <v>0</v>
      </c>
      <c r="AR277" s="89">
        <v>0</v>
      </c>
      <c r="AS277" s="89">
        <v>1</v>
      </c>
      <c r="AT277" s="89">
        <v>0</v>
      </c>
      <c r="AU277" s="89" t="s">
        <v>378</v>
      </c>
      <c r="AV277" s="89">
        <v>328</v>
      </c>
      <c r="AW277" s="89" t="s">
        <v>358</v>
      </c>
      <c r="AX277" s="89" t="s">
        <v>373</v>
      </c>
      <c r="AY277" s="89" t="s">
        <v>359</v>
      </c>
      <c r="AZ277" s="89" t="s">
        <v>359</v>
      </c>
      <c r="BA277" s="89" t="s">
        <v>359</v>
      </c>
      <c r="BB277" s="89" t="s">
        <v>359</v>
      </c>
      <c r="BC277" s="89" t="s">
        <v>359</v>
      </c>
      <c r="BD277" s="89" t="s">
        <v>359</v>
      </c>
      <c r="BE277" s="89" t="s">
        <v>359</v>
      </c>
      <c r="BF277" s="89" t="s">
        <v>359</v>
      </c>
      <c r="BG277" s="89" t="s">
        <v>359</v>
      </c>
      <c r="BH277" s="89" t="s">
        <v>1281</v>
      </c>
      <c r="BI277" s="89"/>
      <c r="BJ277" s="89"/>
      <c r="BK277" s="74">
        <v>44896.751805555563</v>
      </c>
      <c r="BL277" s="74">
        <v>44896.662499999999</v>
      </c>
      <c r="BM277" s="89" t="s">
        <v>1282</v>
      </c>
      <c r="BN277" s="89" t="b">
        <v>0</v>
      </c>
    </row>
    <row r="278" spans="1:66">
      <c r="A278" s="100" t="s">
        <v>2289</v>
      </c>
      <c r="B278" s="89" t="s">
        <v>205</v>
      </c>
      <c r="C278" s="89" t="s">
        <v>189</v>
      </c>
      <c r="D278" s="89" t="s">
        <v>1283</v>
      </c>
      <c r="E278" s="89" t="s">
        <v>495</v>
      </c>
      <c r="F278" s="89" t="s">
        <v>496</v>
      </c>
      <c r="G278" s="89" t="s">
        <v>496</v>
      </c>
      <c r="H278" s="89" t="s">
        <v>1284</v>
      </c>
      <c r="I278" s="89" t="s">
        <v>1285</v>
      </c>
      <c r="J278" s="89" t="s">
        <v>499</v>
      </c>
      <c r="K278" s="82" t="s">
        <v>370</v>
      </c>
      <c r="L278" s="89">
        <v>56</v>
      </c>
      <c r="M278" s="89" t="s">
        <v>353</v>
      </c>
      <c r="N278" s="89" t="s">
        <v>354</v>
      </c>
      <c r="O278" s="89">
        <v>56</v>
      </c>
      <c r="P278" s="89" t="s">
        <v>353</v>
      </c>
      <c r="Q278" s="89" t="s">
        <v>501</v>
      </c>
      <c r="R278" s="89" t="s">
        <v>356</v>
      </c>
      <c r="S278" s="89" t="s">
        <v>475</v>
      </c>
      <c r="T278" s="89"/>
      <c r="U278" s="93"/>
      <c r="V278" s="93"/>
      <c r="W278" s="93"/>
      <c r="X278" s="89"/>
      <c r="Y278" s="89"/>
      <c r="Z278" s="89"/>
      <c r="AA278" s="89"/>
      <c r="AB278" s="93"/>
      <c r="AC278" s="93"/>
      <c r="AD278" s="89"/>
      <c r="AE278" s="89"/>
      <c r="AF278" s="89">
        <v>0</v>
      </c>
      <c r="AG278" s="89">
        <v>1</v>
      </c>
      <c r="AH278" s="89">
        <v>30</v>
      </c>
      <c r="AI278" s="89">
        <v>70</v>
      </c>
      <c r="AJ278" s="89">
        <v>0</v>
      </c>
      <c r="AK278" s="89">
        <v>0</v>
      </c>
      <c r="AL278" s="89">
        <v>0</v>
      </c>
      <c r="AM278" s="89"/>
      <c r="AN278" s="89"/>
      <c r="AO278" s="89">
        <v>12</v>
      </c>
      <c r="AP278" s="89">
        <v>360</v>
      </c>
      <c r="AQ278" s="89">
        <v>0</v>
      </c>
      <c r="AR278" s="89"/>
      <c r="AS278" s="89">
        <v>1</v>
      </c>
      <c r="AT278" s="89"/>
      <c r="AU278" s="89" t="s">
        <v>502</v>
      </c>
      <c r="AV278" s="89" t="s">
        <v>522</v>
      </c>
      <c r="AW278" s="89" t="s">
        <v>358</v>
      </c>
      <c r="AX278" s="89" t="s">
        <v>373</v>
      </c>
      <c r="AY278" s="89" t="s">
        <v>359</v>
      </c>
      <c r="AZ278" s="89" t="s">
        <v>359</v>
      </c>
      <c r="BA278" s="89" t="s">
        <v>359</v>
      </c>
      <c r="BB278" s="89" t="s">
        <v>359</v>
      </c>
      <c r="BC278" s="89" t="s">
        <v>359</v>
      </c>
      <c r="BD278" s="89" t="s">
        <v>359</v>
      </c>
      <c r="BE278" s="89" t="s">
        <v>359</v>
      </c>
      <c r="BF278" s="89" t="s">
        <v>359</v>
      </c>
      <c r="BG278" s="89" t="s">
        <v>359</v>
      </c>
      <c r="BH278" s="89" t="s">
        <v>361</v>
      </c>
      <c r="BI278" s="89"/>
      <c r="BJ278" s="89"/>
      <c r="BK278" s="82" t="s">
        <v>2018</v>
      </c>
      <c r="BL278" s="82" t="s">
        <v>2020</v>
      </c>
      <c r="BM278" s="89" t="s">
        <v>1286</v>
      </c>
      <c r="BN278" s="89" t="b">
        <v>0</v>
      </c>
    </row>
  </sheetData>
  <hyperlinks>
    <hyperlink ref="AE269" r:id="rId1" xr:uid="{4CB12CED-3F92-4823-9B7A-85DE931513C6}"/>
    <hyperlink ref="AE19" r:id="rId2" xr:uid="{A402AFE0-D613-4AF7-AFEF-0EEECFB57FC8}"/>
    <hyperlink ref="AE17" r:id="rId3" xr:uid="{14375F09-FC09-4ECA-8D90-CD7DB9E3C1AA}"/>
    <hyperlink ref="S269" r:id="rId4" xr:uid="{97DAC4B5-778D-42D4-9BAF-6BD0F401B6B8}"/>
    <hyperlink ref="S17" r:id="rId5" xr:uid="{EFEB77D8-7720-43AB-8979-0C299D74827A}"/>
    <hyperlink ref="S105" r:id="rId6" xr:uid="{4201F485-2A15-4D77-8EC9-FAA7BD06F129}"/>
    <hyperlink ref="S277" r:id="rId7" display="1.95 ounces (3 - 0.65 ounce slices) credits as 1.25 ounce equivalent of meat/meat alternate" xr:uid="{C35748FF-F076-4710-89DE-66B2E3E8923E}"/>
    <hyperlink ref="AE277" r:id="rId8" xr:uid="{1F14CEBB-F9C0-432F-93B6-F66D96523492}"/>
    <hyperlink ref="AE10" r:id="rId9" xr:uid="{16246BBF-35BC-4B41-882F-7E974BEA9937}"/>
    <hyperlink ref="S10" r:id="rId10" xr:uid="{CE015B74-83CC-4267-B143-DFD1008A2D58}"/>
    <hyperlink ref="S272" r:id="rId11" display="Each 1.25 oz Scrambled Egg Patty provides 1.25 oz equivalent meat alternate" xr:uid="{EC05DE83-B295-4858-A618-031E20902D1F}"/>
    <hyperlink ref="Y214" r:id="rId12" xr:uid="{73504291-A527-489E-AC4F-E2B9EC405D2B}"/>
    <hyperlink ref="S214" r:id="rId13" xr:uid="{CD577F35-84FC-42B9-9541-7B1E073F8300}"/>
    <hyperlink ref="S274" r:id="rId14" display="A 1.25 ounce serving of fully cooked round scrambled egg patties credits as 1.25 ounce equivalent meat/meat alternate." xr:uid="{D326320D-85C7-4C2F-A3CD-30B905624F33}"/>
    <hyperlink ref="Y274" r:id="rId15" xr:uid="{8D3AD76B-F0C7-4CDB-B2E5-A9BA8CF6A350}"/>
    <hyperlink ref="Y37" r:id="rId16" xr:uid="{64B75549-9753-42BA-895E-7B8DFBEDF7FE}"/>
    <hyperlink ref="S37" r:id="rId17" xr:uid="{E7AB0D35-A0F6-4A25-9986-E49D35285E54}"/>
    <hyperlink ref="S248" r:id="rId18" xr:uid="{CC68DDA6-F78A-4886-91F8-6DAFB33E7C34}"/>
    <hyperlink ref="Y170" r:id="rId19" xr:uid="{FD9989FD-6CA9-4623-96BF-B1419616048B}"/>
    <hyperlink ref="S170" r:id="rId20" xr:uid="{836AA7C7-B40D-49FD-ABB8-5D179FF281E4}"/>
    <hyperlink ref="S162" r:id="rId21" xr:uid="{8170F39F-4EEF-4F86-8BAF-A1B1AAB0EFC3}"/>
    <hyperlink ref="S28" r:id="rId22" xr:uid="{8CBAD9F3-6CBC-40F3-84BD-7CEC407CCD80}"/>
    <hyperlink ref="Y213" r:id="rId23" xr:uid="{DA92CEB1-9300-4A84-90CF-4778F703926B}"/>
    <hyperlink ref="S213" r:id="rId24" display="Each 2.2 ounce fully cooked homestyle beef patty provides 2 ounce equivalent meat" xr:uid="{8DFFED26-B537-4B17-A8AD-0C5827C9D6DF}"/>
    <hyperlink ref="Y273" r:id="rId25" xr:uid="{FBF19300-0DF0-4373-BFE5-79BACBF6D388}"/>
    <hyperlink ref="S273" r:id="rId26" display="Each 1.25 ounce patty provides 1.25 ounce equivalents meat alternate." xr:uid="{6ADD0952-3008-4D54-9FD5-871C16363944}"/>
    <hyperlink ref="S102" r:id="rId27" xr:uid="{9AA98805-7B53-4686-AAFE-B11B75D6D636}"/>
    <hyperlink ref="Y221" r:id="rId28" xr:uid="{D241A66C-681F-477C-BB1B-637AC1D4DC49}"/>
    <hyperlink ref="AE108" r:id="rId29" xr:uid="{43D3479D-28AF-4C01-B8CA-FA6C71193C44}"/>
    <hyperlink ref="AE28" r:id="rId30" xr:uid="{0F064BB9-6A9C-4BB3-BBBA-C41D641CA745}"/>
    <hyperlink ref="AE162" r:id="rId31" xr:uid="{20ABFD3F-0E48-4AF3-93BD-4B2AC92D08B0}"/>
    <hyperlink ref="S108" r:id="rId32" xr:uid="{C4534D19-E278-4AC7-9F7D-DB64BBB9FF34}"/>
    <hyperlink ref="AE248" r:id="rId33" xr:uid="{285FACFF-333B-470F-8095-E6B3CBB65C08}"/>
    <hyperlink ref="AE236" r:id="rId34" xr:uid="{B4D0A979-C227-466A-AA2A-BA761EF0382E}"/>
    <hyperlink ref="S236" r:id="rId35" display="A 4 ounce serving of Alaska Pollock fish sticks contains 2.6 ounces of Alaska Pollock and contributes 2 ounce equivalent meat" xr:uid="{D70E37BB-5E09-4C2F-9A3C-5CBD07FAE8C8}"/>
    <hyperlink ref="AE184" r:id="rId36" xr:uid="{0883714D-65A3-45C7-ABA7-CCE363B369CA}"/>
    <hyperlink ref="S184" r:id="rId37" xr:uid="{B2BC694B-B00D-477D-B4A4-79A20539E5E1}"/>
    <hyperlink ref="AE24" r:id="rId38" xr:uid="{A2404B87-E765-4C72-8C2E-79B15A38CD2B}"/>
    <hyperlink ref="S24" r:id="rId39" xr:uid="{564CFCAE-8673-40A6-A6A9-54ABB87414CA}"/>
    <hyperlink ref="AE185" r:id="rId40" xr:uid="{FE94AA17-A046-41E7-8638-8E5219DFD5E4}"/>
    <hyperlink ref="S185" r:id="rId41" xr:uid="{7E9DB08E-7A80-43A1-8964-10829545F16F}"/>
    <hyperlink ref="AE102" r:id="rId42" xr:uid="{DDD4E561-D083-4D56-9A9E-9733E66D7CD2}"/>
    <hyperlink ref="AE105" r:id="rId43" xr:uid="{F92BEC8D-108C-498B-9BD4-6B962C8AE8C1}"/>
    <hyperlink ref="S235" r:id="rId44" display="https://assets.edgenet.com/88e69b21-a4c7-4c7f-bfa4-7862199628a0 " xr:uid="{77A7BB1D-1A59-4C2E-87F9-9957CA233D8E}"/>
    <hyperlink ref="Y235" r:id="rId45" xr:uid="{12B46F3C-229F-40E6-B4B9-17842F822E9A}"/>
    <hyperlink ref="Y215" r:id="rId46" xr:uid="{BD3BC570-BBA1-4C14-8C60-61C6F72A0E90}"/>
    <hyperlink ref="Y171" r:id="rId47" xr:uid="{7373A666-5F00-4BEF-8038-6B766F62F6BD}"/>
    <hyperlink ref="S215" r:id="rId48" display="https://assets.edgenet.com/bf849b6d-2c5c-4957-84af-7543d74bcedd" xr:uid="{E8575024-1E85-4E67-BF49-792B2851CF20}"/>
    <hyperlink ref="S171" r:id="rId49" display="https://assets.edgenet.com/4bf7192d-38d3-4eea-8b55-10d8262e2ec1" xr:uid="{C116A802-212A-4733-8AF9-B179E945D8A9}"/>
  </hyperlinks>
  <pageMargins left="0.7" right="0.7" top="0.75" bottom="0.75" header="0.3" footer="0.3"/>
  <pageSetup orientation="portrait" r:id="rId5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52"/>
  <sheetViews>
    <sheetView zoomScale="80" zoomScaleNormal="80" workbookViewId="0">
      <selection activeCell="D109" sqref="D109"/>
    </sheetView>
  </sheetViews>
  <sheetFormatPr defaultRowHeight="14.4"/>
  <cols>
    <col min="1" max="3" width="10.44140625" customWidth="1"/>
    <col min="4" max="4" width="13.77734375" bestFit="1" customWidth="1"/>
    <col min="5" max="5" width="75.6640625"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1517</v>
      </c>
      <c r="H1" s="3" t="s">
        <v>51</v>
      </c>
      <c r="I1" s="39" t="s">
        <v>1518</v>
      </c>
      <c r="J1" s="34" t="s">
        <v>255</v>
      </c>
      <c r="L1" s="3" t="s">
        <v>48</v>
      </c>
      <c r="N1" s="33" t="s">
        <v>1519</v>
      </c>
    </row>
    <row r="2" spans="4:14" ht="28.8">
      <c r="D2" s="5">
        <v>100127</v>
      </c>
      <c r="E2" s="4" t="s">
        <v>2091</v>
      </c>
      <c r="F2" s="5" t="s">
        <v>53</v>
      </c>
      <c r="G2" s="12" t="s">
        <v>1520</v>
      </c>
      <c r="H2" s="6" t="s">
        <v>54</v>
      </c>
      <c r="I2" s="37" t="s">
        <v>1521</v>
      </c>
      <c r="J2" s="12" t="s">
        <v>1522</v>
      </c>
      <c r="L2" s="5" t="s">
        <v>53</v>
      </c>
      <c r="N2" t="s">
        <v>2184</v>
      </c>
    </row>
    <row r="3" spans="4:14" ht="43.2">
      <c r="D3" s="5">
        <v>100134</v>
      </c>
      <c r="E3" s="4" t="s">
        <v>549</v>
      </c>
      <c r="F3" s="5" t="s">
        <v>53</v>
      </c>
      <c r="G3" s="12" t="s">
        <v>1523</v>
      </c>
      <c r="H3" s="6" t="s">
        <v>57</v>
      </c>
      <c r="I3" s="37" t="s">
        <v>1524</v>
      </c>
      <c r="J3" s="12" t="s">
        <v>1525</v>
      </c>
      <c r="L3" s="5" t="s">
        <v>63</v>
      </c>
      <c r="N3" t="s">
        <v>2186</v>
      </c>
    </row>
    <row r="4" spans="4:14" ht="28.8">
      <c r="D4" s="5">
        <v>100158</v>
      </c>
      <c r="E4" s="4" t="s">
        <v>2093</v>
      </c>
      <c r="F4" s="5" t="s">
        <v>53</v>
      </c>
      <c r="G4" s="12" t="s">
        <v>1526</v>
      </c>
      <c r="H4" s="6" t="s">
        <v>58</v>
      </c>
      <c r="I4" s="37" t="s">
        <v>1527</v>
      </c>
      <c r="J4" s="12" t="s">
        <v>1528</v>
      </c>
      <c r="L4" s="6" t="s">
        <v>85</v>
      </c>
      <c r="N4" t="s">
        <v>2185</v>
      </c>
    </row>
    <row r="5" spans="4:14" ht="28.8">
      <c r="D5" s="5">
        <v>110261</v>
      </c>
      <c r="E5" s="4" t="s">
        <v>2094</v>
      </c>
      <c r="F5" s="5" t="s">
        <v>53</v>
      </c>
      <c r="G5" s="12" t="s">
        <v>1529</v>
      </c>
      <c r="H5" s="6" t="s">
        <v>58</v>
      </c>
      <c r="I5" s="37" t="s">
        <v>1527</v>
      </c>
      <c r="J5" s="12" t="s">
        <v>1528</v>
      </c>
      <c r="L5" s="6" t="s">
        <v>91</v>
      </c>
      <c r="N5" t="s">
        <v>2180</v>
      </c>
    </row>
    <row r="6" spans="4:14" ht="28.8">
      <c r="D6" s="5">
        <v>110349</v>
      </c>
      <c r="E6" s="4" t="s">
        <v>2095</v>
      </c>
      <c r="F6" s="5" t="s">
        <v>53</v>
      </c>
      <c r="G6" s="12" t="s">
        <v>1530</v>
      </c>
      <c r="H6" s="6" t="s">
        <v>58</v>
      </c>
      <c r="I6" s="37" t="s">
        <v>1531</v>
      </c>
      <c r="J6" s="12" t="s">
        <v>1532</v>
      </c>
      <c r="L6" s="5" t="s">
        <v>95</v>
      </c>
      <c r="N6" t="s">
        <v>2181</v>
      </c>
    </row>
    <row r="7" spans="4:14" ht="28.8">
      <c r="D7" s="5">
        <v>110346</v>
      </c>
      <c r="E7" s="4" t="s">
        <v>2096</v>
      </c>
      <c r="F7" s="5" t="s">
        <v>53</v>
      </c>
      <c r="G7" s="12" t="s">
        <v>1533</v>
      </c>
      <c r="H7" s="6" t="s">
        <v>58</v>
      </c>
      <c r="I7" s="37" t="s">
        <v>1531</v>
      </c>
      <c r="J7" s="12" t="s">
        <v>1532</v>
      </c>
      <c r="L7" s="6" t="s">
        <v>137</v>
      </c>
      <c r="N7" t="s">
        <v>2179</v>
      </c>
    </row>
    <row r="8" spans="4:14" ht="28.8">
      <c r="D8" s="5">
        <v>100163</v>
      </c>
      <c r="E8" s="4" t="s">
        <v>2103</v>
      </c>
      <c r="F8" s="5" t="s">
        <v>53</v>
      </c>
      <c r="G8" s="12" t="s">
        <v>1534</v>
      </c>
      <c r="H8" s="6" t="s">
        <v>58</v>
      </c>
      <c r="I8" s="37" t="s">
        <v>1535</v>
      </c>
      <c r="J8" s="12" t="s">
        <v>1536</v>
      </c>
      <c r="L8" s="5" t="s">
        <v>158</v>
      </c>
      <c r="N8" t="s">
        <v>2190</v>
      </c>
    </row>
    <row r="9" spans="4:14" ht="28.8">
      <c r="D9" s="5">
        <v>110348</v>
      </c>
      <c r="E9" s="4" t="s">
        <v>2097</v>
      </c>
      <c r="F9" s="5" t="s">
        <v>53</v>
      </c>
      <c r="G9" s="12" t="s">
        <v>1537</v>
      </c>
      <c r="H9" s="6" t="s">
        <v>58</v>
      </c>
      <c r="I9" s="37" t="s">
        <v>1538</v>
      </c>
      <c r="J9" s="12" t="s">
        <v>1539</v>
      </c>
      <c r="L9" s="5" t="s">
        <v>171</v>
      </c>
      <c r="N9" t="s">
        <v>2189</v>
      </c>
    </row>
    <row r="10" spans="4:14" ht="28.8">
      <c r="D10" s="5">
        <v>110322</v>
      </c>
      <c r="E10" s="4" t="s">
        <v>1166</v>
      </c>
      <c r="F10" s="5" t="s">
        <v>53</v>
      </c>
      <c r="G10" s="12" t="s">
        <v>1540</v>
      </c>
      <c r="H10" s="6" t="s">
        <v>58</v>
      </c>
      <c r="I10" s="37" t="s">
        <v>1541</v>
      </c>
      <c r="J10" s="12" t="s">
        <v>1542</v>
      </c>
      <c r="L10" s="5" t="s">
        <v>177</v>
      </c>
      <c r="N10" t="s">
        <v>2188</v>
      </c>
    </row>
    <row r="11" spans="4:14" ht="28.8">
      <c r="D11" s="5">
        <v>110711</v>
      </c>
      <c r="E11" s="4" t="s">
        <v>62</v>
      </c>
      <c r="F11" s="5" t="s">
        <v>53</v>
      </c>
      <c r="G11" s="12" t="s">
        <v>1543</v>
      </c>
      <c r="H11" s="6" t="s">
        <v>58</v>
      </c>
      <c r="I11" s="37" t="s">
        <v>1541</v>
      </c>
      <c r="J11" s="12" t="s">
        <v>1544</v>
      </c>
      <c r="L11" s="5" t="s">
        <v>180</v>
      </c>
      <c r="N11" t="s">
        <v>2183</v>
      </c>
    </row>
    <row r="12" spans="4:14" ht="28.8">
      <c r="D12" s="5">
        <v>100019</v>
      </c>
      <c r="E12" s="4" t="s">
        <v>71</v>
      </c>
      <c r="F12" s="5" t="s">
        <v>63</v>
      </c>
      <c r="G12" s="12" t="s">
        <v>1545</v>
      </c>
      <c r="H12" s="6" t="s">
        <v>69</v>
      </c>
      <c r="I12" s="37" t="s">
        <v>1546</v>
      </c>
      <c r="J12" s="12" t="s">
        <v>397</v>
      </c>
      <c r="L12" s="5" t="s">
        <v>189</v>
      </c>
      <c r="N12" t="s">
        <v>2182</v>
      </c>
    </row>
    <row r="13" spans="4:14" ht="28.8">
      <c r="D13" s="5">
        <v>100017</v>
      </c>
      <c r="E13" s="4" t="s">
        <v>68</v>
      </c>
      <c r="F13" s="5" t="s">
        <v>63</v>
      </c>
      <c r="G13" s="12" t="s">
        <v>1547</v>
      </c>
      <c r="H13" s="6" t="s">
        <v>69</v>
      </c>
      <c r="I13" s="37" t="s">
        <v>1546</v>
      </c>
      <c r="J13" s="12" t="s">
        <v>397</v>
      </c>
      <c r="L13" s="5" t="s">
        <v>209</v>
      </c>
      <c r="N13" t="s">
        <v>2193</v>
      </c>
    </row>
    <row r="14" spans="4:14" ht="28.8">
      <c r="D14" s="5">
        <v>100018</v>
      </c>
      <c r="E14" s="4" t="s">
        <v>70</v>
      </c>
      <c r="F14" s="5" t="s">
        <v>63</v>
      </c>
      <c r="G14" s="12" t="s">
        <v>1548</v>
      </c>
      <c r="H14" s="6" t="s">
        <v>69</v>
      </c>
      <c r="I14" s="37" t="s">
        <v>1546</v>
      </c>
      <c r="J14" s="12" t="s">
        <v>397</v>
      </c>
      <c r="L14" s="6" t="s">
        <v>239</v>
      </c>
      <c r="N14" t="s">
        <v>2238</v>
      </c>
    </row>
    <row r="15" spans="4:14" ht="28.8">
      <c r="D15" s="5">
        <v>100037</v>
      </c>
      <c r="E15" s="4" t="s">
        <v>78</v>
      </c>
      <c r="F15" s="5" t="s">
        <v>63</v>
      </c>
      <c r="G15" s="12" t="s">
        <v>1549</v>
      </c>
      <c r="H15" s="6" t="s">
        <v>69</v>
      </c>
      <c r="I15" s="37" t="s">
        <v>1546</v>
      </c>
      <c r="J15" s="12" t="s">
        <v>397</v>
      </c>
      <c r="L15" s="4"/>
      <c r="N15" t="s">
        <v>2239</v>
      </c>
    </row>
    <row r="16" spans="4:14" ht="28.8">
      <c r="D16" s="5">
        <v>100036</v>
      </c>
      <c r="E16" s="4" t="s">
        <v>77</v>
      </c>
      <c r="F16" s="5" t="s">
        <v>63</v>
      </c>
      <c r="G16" s="12" t="s">
        <v>1550</v>
      </c>
      <c r="H16" s="6" t="s">
        <v>69</v>
      </c>
      <c r="I16" s="37" t="s">
        <v>1546</v>
      </c>
      <c r="J16" s="12" t="s">
        <v>397</v>
      </c>
      <c r="N16" t="s">
        <v>2251</v>
      </c>
    </row>
    <row r="17" spans="4:14" ht="28.8">
      <c r="D17" s="5">
        <v>100002</v>
      </c>
      <c r="E17" s="4" t="s">
        <v>64</v>
      </c>
      <c r="F17" s="5" t="s">
        <v>63</v>
      </c>
      <c r="G17" s="12" t="s">
        <v>1551</v>
      </c>
      <c r="H17" s="5" t="s">
        <v>65</v>
      </c>
      <c r="I17" s="37" t="s">
        <v>1546</v>
      </c>
      <c r="J17" s="12" t="s">
        <v>1552</v>
      </c>
      <c r="N17" t="s">
        <v>2244</v>
      </c>
    </row>
    <row r="18" spans="4:14" ht="28.8">
      <c r="D18" s="5">
        <v>100012</v>
      </c>
      <c r="E18" s="4" t="s">
        <v>67</v>
      </c>
      <c r="F18" s="5" t="s">
        <v>63</v>
      </c>
      <c r="G18" s="12" t="s">
        <v>1553</v>
      </c>
      <c r="H18" s="5" t="s">
        <v>65</v>
      </c>
      <c r="I18" s="37" t="s">
        <v>1546</v>
      </c>
      <c r="J18" s="12" t="s">
        <v>1554</v>
      </c>
      <c r="N18" t="s">
        <v>2246</v>
      </c>
    </row>
    <row r="19" spans="4:14" ht="28.8">
      <c r="D19" s="5">
        <v>100003</v>
      </c>
      <c r="E19" s="4" t="s">
        <v>66</v>
      </c>
      <c r="F19" s="5" t="s">
        <v>63</v>
      </c>
      <c r="G19" s="12" t="s">
        <v>1555</v>
      </c>
      <c r="H19" s="5" t="s">
        <v>65</v>
      </c>
      <c r="I19" s="37" t="s">
        <v>1546</v>
      </c>
      <c r="J19" s="12" t="s">
        <v>1552</v>
      </c>
      <c r="N19" t="s">
        <v>2250</v>
      </c>
    </row>
    <row r="20" spans="4:14" ht="28.8">
      <c r="D20" s="5">
        <v>111110</v>
      </c>
      <c r="E20" s="4" t="s">
        <v>81</v>
      </c>
      <c r="F20" s="5" t="s">
        <v>63</v>
      </c>
      <c r="G20" s="12" t="s">
        <v>1556</v>
      </c>
      <c r="H20" s="5" t="s">
        <v>82</v>
      </c>
      <c r="I20" s="37" t="s">
        <v>1546</v>
      </c>
      <c r="J20" s="12" t="s">
        <v>1557</v>
      </c>
      <c r="N20" t="s">
        <v>2248</v>
      </c>
    </row>
    <row r="21" spans="4:14">
      <c r="D21" s="5">
        <v>100034</v>
      </c>
      <c r="E21" s="4" t="s">
        <v>76</v>
      </c>
      <c r="F21" s="5" t="s">
        <v>63</v>
      </c>
      <c r="G21" s="12" t="s">
        <v>1558</v>
      </c>
      <c r="H21" s="5" t="s">
        <v>73</v>
      </c>
      <c r="I21" s="37" t="s">
        <v>1546</v>
      </c>
      <c r="J21" s="12" t="s">
        <v>1559</v>
      </c>
      <c r="N21" t="s">
        <v>2169</v>
      </c>
    </row>
    <row r="22" spans="4:14" ht="28.8">
      <c r="D22" s="5">
        <v>100022</v>
      </c>
      <c r="E22" s="4" t="s">
        <v>74</v>
      </c>
      <c r="F22" s="5" t="s">
        <v>63</v>
      </c>
      <c r="G22" s="12" t="s">
        <v>1560</v>
      </c>
      <c r="H22" s="5" t="s">
        <v>75</v>
      </c>
      <c r="I22" s="37" t="s">
        <v>1546</v>
      </c>
      <c r="J22" s="12" t="s">
        <v>1561</v>
      </c>
      <c r="N22" t="s">
        <v>2170</v>
      </c>
    </row>
    <row r="23" spans="4:14" ht="28.8">
      <c r="D23" s="5">
        <v>100021</v>
      </c>
      <c r="E23" s="4" t="s">
        <v>72</v>
      </c>
      <c r="F23" s="5" t="s">
        <v>63</v>
      </c>
      <c r="G23" s="12" t="s">
        <v>1562</v>
      </c>
      <c r="H23" s="5" t="s">
        <v>73</v>
      </c>
      <c r="I23" s="37" t="s">
        <v>1546</v>
      </c>
      <c r="J23" s="12" t="s">
        <v>1563</v>
      </c>
      <c r="N23" t="s">
        <v>2233</v>
      </c>
    </row>
    <row r="24" spans="4:14" ht="28.8">
      <c r="D24" s="8">
        <v>110396</v>
      </c>
      <c r="E24" s="7" t="s">
        <v>79</v>
      </c>
      <c r="F24" s="8" t="s">
        <v>63</v>
      </c>
      <c r="G24" s="12" t="s">
        <v>1564</v>
      </c>
      <c r="H24" s="5" t="s">
        <v>80</v>
      </c>
      <c r="I24" s="37" t="s">
        <v>1546</v>
      </c>
      <c r="J24" s="12" t="s">
        <v>1565</v>
      </c>
      <c r="N24" t="s">
        <v>2171</v>
      </c>
    </row>
    <row r="25" spans="4:14" ht="28.8">
      <c r="D25" s="6">
        <v>111220</v>
      </c>
      <c r="E25" s="7" t="s">
        <v>83</v>
      </c>
      <c r="F25" s="6" t="s">
        <v>63</v>
      </c>
      <c r="G25" s="12" t="s">
        <v>1566</v>
      </c>
      <c r="H25" s="6" t="s">
        <v>84</v>
      </c>
      <c r="I25" s="37" t="s">
        <v>1546</v>
      </c>
      <c r="J25" s="12" t="s">
        <v>1567</v>
      </c>
      <c r="N25" t="s">
        <v>2175</v>
      </c>
    </row>
    <row r="26" spans="4:14" ht="28.8">
      <c r="D26" s="5">
        <v>100046</v>
      </c>
      <c r="E26" s="4" t="s">
        <v>86</v>
      </c>
      <c r="F26" s="6" t="s">
        <v>85</v>
      </c>
      <c r="G26" s="12" t="s">
        <v>1568</v>
      </c>
      <c r="H26" s="6" t="s">
        <v>87</v>
      </c>
      <c r="I26" s="37" t="s">
        <v>1569</v>
      </c>
      <c r="J26" s="12" t="s">
        <v>1570</v>
      </c>
      <c r="N26" t="s">
        <v>2234</v>
      </c>
    </row>
    <row r="27" spans="4:14" ht="28.8">
      <c r="D27" s="5">
        <v>110845</v>
      </c>
      <c r="E27" s="4" t="s">
        <v>86</v>
      </c>
      <c r="F27" s="6" t="s">
        <v>85</v>
      </c>
      <c r="G27" s="12" t="s">
        <v>1571</v>
      </c>
      <c r="H27" s="6" t="s">
        <v>88</v>
      </c>
      <c r="I27" s="37" t="s">
        <v>1569</v>
      </c>
      <c r="J27" s="12" t="s">
        <v>1570</v>
      </c>
      <c r="N27" t="s">
        <v>2230</v>
      </c>
    </row>
    <row r="28" spans="4:14" ht="43.2">
      <c r="D28" s="5">
        <v>111751</v>
      </c>
      <c r="E28" s="4" t="s">
        <v>89</v>
      </c>
      <c r="F28" s="5" t="s">
        <v>85</v>
      </c>
      <c r="G28" s="12" t="s">
        <v>1572</v>
      </c>
      <c r="H28" s="6" t="s">
        <v>90</v>
      </c>
      <c r="I28" s="37" t="s">
        <v>1573</v>
      </c>
      <c r="J28" s="12" t="s">
        <v>1574</v>
      </c>
      <c r="N28" t="s">
        <v>2232</v>
      </c>
    </row>
    <row r="29" spans="4:14" ht="43.2">
      <c r="D29" s="6">
        <v>110851</v>
      </c>
      <c r="E29" s="7" t="s">
        <v>94</v>
      </c>
      <c r="F29" s="6" t="s">
        <v>91</v>
      </c>
      <c r="G29" s="12" t="s">
        <v>1575</v>
      </c>
      <c r="H29" s="6" t="s">
        <v>93</v>
      </c>
      <c r="I29" s="37" t="s">
        <v>1576</v>
      </c>
      <c r="J29" s="12" t="s">
        <v>1577</v>
      </c>
      <c r="N29" t="s">
        <v>2231</v>
      </c>
    </row>
    <row r="30" spans="4:14" ht="28.8">
      <c r="D30" s="5">
        <v>100201</v>
      </c>
      <c r="E30" s="4" t="s">
        <v>92</v>
      </c>
      <c r="F30" s="5" t="s">
        <v>91</v>
      </c>
      <c r="G30" s="12" t="s">
        <v>1578</v>
      </c>
      <c r="H30" s="6" t="s">
        <v>93</v>
      </c>
      <c r="I30" s="37" t="s">
        <v>1579</v>
      </c>
      <c r="J30" s="12" t="s">
        <v>1580</v>
      </c>
      <c r="N30" t="s">
        <v>2197</v>
      </c>
    </row>
    <row r="31" spans="4:14">
      <c r="D31" s="5">
        <v>111790</v>
      </c>
      <c r="E31" s="4" t="s">
        <v>2080</v>
      </c>
      <c r="F31" s="5" t="s">
        <v>95</v>
      </c>
      <c r="G31" t="s">
        <v>2081</v>
      </c>
      <c r="H31" s="6" t="s">
        <v>132</v>
      </c>
      <c r="I31" t="s">
        <v>2083</v>
      </c>
      <c r="J31" t="s">
        <v>2082</v>
      </c>
      <c r="N31" t="s">
        <v>2139</v>
      </c>
    </row>
    <row r="32" spans="4:14" ht="28.8">
      <c r="D32" s="10">
        <v>100206</v>
      </c>
      <c r="E32" s="9" t="s">
        <v>96</v>
      </c>
      <c r="F32" s="10" t="s">
        <v>95</v>
      </c>
      <c r="G32" s="12" t="s">
        <v>1581</v>
      </c>
      <c r="H32" s="10" t="s">
        <v>97</v>
      </c>
      <c r="I32" s="37" t="s">
        <v>1582</v>
      </c>
      <c r="J32" s="12" t="s">
        <v>1583</v>
      </c>
      <c r="N32" t="s">
        <v>2155</v>
      </c>
    </row>
    <row r="33" spans="4:14" ht="28.8">
      <c r="D33" s="10">
        <v>100258</v>
      </c>
      <c r="E33" s="9" t="s">
        <v>116</v>
      </c>
      <c r="F33" s="10" t="s">
        <v>95</v>
      </c>
      <c r="G33" s="12" t="s">
        <v>1584</v>
      </c>
      <c r="H33" s="10" t="s">
        <v>73</v>
      </c>
      <c r="I33" s="37" t="s">
        <v>1585</v>
      </c>
      <c r="J33" s="12" t="s">
        <v>1586</v>
      </c>
      <c r="N33" t="s">
        <v>2144</v>
      </c>
    </row>
    <row r="34" spans="4:14" ht="28.8">
      <c r="D34" s="5">
        <v>110541</v>
      </c>
      <c r="E34" s="4" t="s">
        <v>125</v>
      </c>
      <c r="F34" s="5" t="s">
        <v>95</v>
      </c>
      <c r="G34" s="12" t="s">
        <v>1587</v>
      </c>
      <c r="H34" s="5" t="s">
        <v>97</v>
      </c>
      <c r="I34" s="37" t="s">
        <v>630</v>
      </c>
      <c r="J34" s="12" t="s">
        <v>1588</v>
      </c>
      <c r="N34" t="s">
        <v>2160</v>
      </c>
    </row>
    <row r="35" spans="4:14" ht="28.8">
      <c r="D35" s="5">
        <v>110361</v>
      </c>
      <c r="E35" s="4" t="s">
        <v>124</v>
      </c>
      <c r="F35" s="5" t="s">
        <v>95</v>
      </c>
      <c r="G35" s="12" t="s">
        <v>1589</v>
      </c>
      <c r="H35" s="5" t="s">
        <v>115</v>
      </c>
      <c r="I35" s="37" t="s">
        <v>1590</v>
      </c>
      <c r="J35" s="12" t="s">
        <v>1588</v>
      </c>
      <c r="N35" t="s">
        <v>2156</v>
      </c>
    </row>
    <row r="36" spans="4:14" ht="28.8">
      <c r="D36" s="5">
        <v>100261</v>
      </c>
      <c r="E36" s="4" t="s">
        <v>117</v>
      </c>
      <c r="F36" s="5" t="s">
        <v>95</v>
      </c>
      <c r="G36" s="12" t="s">
        <v>1591</v>
      </c>
      <c r="H36" s="5" t="s">
        <v>115</v>
      </c>
      <c r="I36" s="37" t="s">
        <v>1590</v>
      </c>
      <c r="J36" s="12" t="s">
        <v>1592</v>
      </c>
      <c r="N36" t="s">
        <v>2163</v>
      </c>
    </row>
    <row r="37" spans="4:14" ht="28.8">
      <c r="D37" s="5">
        <v>100216</v>
      </c>
      <c r="E37" s="4" t="s">
        <v>99</v>
      </c>
      <c r="F37" s="5" t="s">
        <v>95</v>
      </c>
      <c r="G37" s="12" t="s">
        <v>1593</v>
      </c>
      <c r="H37" s="5" t="s">
        <v>97</v>
      </c>
      <c r="I37" s="37" t="s">
        <v>1582</v>
      </c>
      <c r="J37" s="12" t="s">
        <v>1594</v>
      </c>
      <c r="N37" t="s">
        <v>2161</v>
      </c>
    </row>
    <row r="38" spans="4:14" ht="28.8">
      <c r="D38" s="6">
        <v>100243</v>
      </c>
      <c r="E38" s="7" t="s">
        <v>110</v>
      </c>
      <c r="F38" s="6" t="s">
        <v>95</v>
      </c>
      <c r="G38" s="12" t="s">
        <v>1595</v>
      </c>
      <c r="H38" s="6" t="s">
        <v>73</v>
      </c>
      <c r="I38" s="37" t="s">
        <v>1585</v>
      </c>
      <c r="J38" s="12" t="s">
        <v>1596</v>
      </c>
      <c r="N38" t="s">
        <v>2162</v>
      </c>
    </row>
    <row r="39" spans="4:14" ht="28.8">
      <c r="D39" s="6">
        <v>100242</v>
      </c>
      <c r="E39" s="7" t="s">
        <v>110</v>
      </c>
      <c r="F39" s="6" t="s">
        <v>95</v>
      </c>
      <c r="G39" s="12" t="s">
        <v>1597</v>
      </c>
      <c r="H39" s="6" t="s">
        <v>111</v>
      </c>
      <c r="I39" s="37" t="s">
        <v>1585</v>
      </c>
      <c r="J39" s="12" t="s">
        <v>1596</v>
      </c>
      <c r="N39" t="s">
        <v>2159</v>
      </c>
    </row>
    <row r="40" spans="4:14" ht="28.8">
      <c r="D40" s="6">
        <v>110624</v>
      </c>
      <c r="E40" s="7" t="s">
        <v>126</v>
      </c>
      <c r="F40" s="6" t="s">
        <v>95</v>
      </c>
      <c r="G40" s="12" t="s">
        <v>1598</v>
      </c>
      <c r="H40" s="6" t="s">
        <v>73</v>
      </c>
      <c r="I40" s="37" t="s">
        <v>1585</v>
      </c>
      <c r="J40" s="12" t="s">
        <v>1599</v>
      </c>
      <c r="N40" t="s">
        <v>2158</v>
      </c>
    </row>
    <row r="41" spans="4:14" ht="28.8">
      <c r="D41" s="6">
        <v>110623</v>
      </c>
      <c r="E41" s="7" t="s">
        <v>126</v>
      </c>
      <c r="F41" s="6" t="s">
        <v>95</v>
      </c>
      <c r="G41" s="12" t="s">
        <v>1600</v>
      </c>
      <c r="H41" s="6" t="s">
        <v>127</v>
      </c>
      <c r="I41" s="37" t="s">
        <v>1585</v>
      </c>
      <c r="J41" s="12" t="s">
        <v>1599</v>
      </c>
      <c r="N41" t="s">
        <v>2157</v>
      </c>
    </row>
    <row r="42" spans="4:14" ht="28.8">
      <c r="D42" s="5">
        <v>100299</v>
      </c>
      <c r="E42" s="7" t="s">
        <v>120</v>
      </c>
      <c r="F42" s="5" t="s">
        <v>95</v>
      </c>
      <c r="G42" s="12" t="s">
        <v>1601</v>
      </c>
      <c r="H42" s="5" t="s">
        <v>121</v>
      </c>
      <c r="I42" s="37" t="s">
        <v>764</v>
      </c>
      <c r="J42" s="12" t="s">
        <v>1602</v>
      </c>
      <c r="N42" t="s">
        <v>2146</v>
      </c>
    </row>
    <row r="43" spans="4:14" ht="28.8">
      <c r="D43" s="5">
        <v>110872</v>
      </c>
      <c r="E43" s="7" t="s">
        <v>134</v>
      </c>
      <c r="F43" s="5" t="s">
        <v>95</v>
      </c>
      <c r="G43" s="12" t="s">
        <v>1603</v>
      </c>
      <c r="H43" s="5" t="s">
        <v>127</v>
      </c>
      <c r="I43" s="37" t="s">
        <v>1585</v>
      </c>
      <c r="J43" s="12" t="s">
        <v>1604</v>
      </c>
      <c r="N43" t="s">
        <v>2145</v>
      </c>
    </row>
    <row r="44" spans="4:14" ht="28.8">
      <c r="D44" s="5">
        <v>111643</v>
      </c>
      <c r="E44" s="7" t="s">
        <v>135</v>
      </c>
      <c r="F44" s="5" t="s">
        <v>95</v>
      </c>
      <c r="G44" s="12" t="s">
        <v>1605</v>
      </c>
      <c r="H44" s="5" t="s">
        <v>136</v>
      </c>
      <c r="I44" s="37" t="s">
        <v>1606</v>
      </c>
      <c r="J44" s="12" t="s">
        <v>1607</v>
      </c>
      <c r="N44" t="s">
        <v>2166</v>
      </c>
    </row>
    <row r="45" spans="4:14" ht="28.8">
      <c r="D45" s="5">
        <v>110723</v>
      </c>
      <c r="E45" s="7" t="s">
        <v>128</v>
      </c>
      <c r="F45" s="5" t="s">
        <v>95</v>
      </c>
      <c r="G45" s="12" t="s">
        <v>1608</v>
      </c>
      <c r="H45" s="5" t="s">
        <v>129</v>
      </c>
      <c r="I45" s="37" t="s">
        <v>1609</v>
      </c>
      <c r="J45" s="12" t="s">
        <v>1610</v>
      </c>
      <c r="N45" t="s">
        <v>2165</v>
      </c>
    </row>
    <row r="46" spans="4:14" ht="43.2">
      <c r="D46" s="5">
        <v>110859</v>
      </c>
      <c r="E46" s="7" t="s">
        <v>131</v>
      </c>
      <c r="F46" s="5" t="s">
        <v>95</v>
      </c>
      <c r="G46" s="12" t="s">
        <v>1611</v>
      </c>
      <c r="H46" s="5" t="s">
        <v>132</v>
      </c>
      <c r="I46" s="37" t="s">
        <v>1612</v>
      </c>
      <c r="J46" s="12" t="s">
        <v>1613</v>
      </c>
      <c r="N46" t="s">
        <v>2140</v>
      </c>
    </row>
    <row r="47" spans="4:14" ht="43.2">
      <c r="D47" s="5">
        <v>110161</v>
      </c>
      <c r="E47" s="7" t="s">
        <v>122</v>
      </c>
      <c r="F47" s="5" t="s">
        <v>95</v>
      </c>
      <c r="G47" s="12" t="s">
        <v>1614</v>
      </c>
      <c r="H47" s="5" t="s">
        <v>123</v>
      </c>
      <c r="I47" s="37" t="s">
        <v>764</v>
      </c>
      <c r="J47" s="12" t="s">
        <v>1615</v>
      </c>
      <c r="N47" t="s">
        <v>2143</v>
      </c>
    </row>
    <row r="48" spans="4:14" ht="43.2">
      <c r="D48" s="5">
        <v>100212</v>
      </c>
      <c r="E48" s="7" t="s">
        <v>98</v>
      </c>
      <c r="F48" s="5" t="s">
        <v>95</v>
      </c>
      <c r="G48" s="12" t="s">
        <v>1616</v>
      </c>
      <c r="H48" s="5" t="s">
        <v>97</v>
      </c>
      <c r="I48" s="37" t="s">
        <v>1582</v>
      </c>
      <c r="J48" s="12" t="s">
        <v>1617</v>
      </c>
      <c r="N48" t="s">
        <v>2164</v>
      </c>
    </row>
    <row r="49" spans="4:14" ht="28.8">
      <c r="D49" s="5">
        <v>100220</v>
      </c>
      <c r="E49" s="7" t="s">
        <v>101</v>
      </c>
      <c r="F49" s="5" t="s">
        <v>95</v>
      </c>
      <c r="G49" s="12" t="s">
        <v>1618</v>
      </c>
      <c r="H49" s="5" t="s">
        <v>97</v>
      </c>
      <c r="I49" s="37" t="s">
        <v>1582</v>
      </c>
      <c r="J49" s="12" t="s">
        <v>1619</v>
      </c>
      <c r="N49" t="s">
        <v>2149</v>
      </c>
    </row>
    <row r="50" spans="4:14" ht="28.8">
      <c r="D50" s="5">
        <v>100241</v>
      </c>
      <c r="E50" s="7" t="s">
        <v>108</v>
      </c>
      <c r="F50" s="5" t="s">
        <v>95</v>
      </c>
      <c r="G50" s="12" t="s">
        <v>1620</v>
      </c>
      <c r="H50" s="5" t="s">
        <v>109</v>
      </c>
      <c r="I50" s="37" t="s">
        <v>1621</v>
      </c>
      <c r="J50" s="12" t="s">
        <v>1622</v>
      </c>
      <c r="N50" t="s">
        <v>2253</v>
      </c>
    </row>
    <row r="51" spans="4:14" ht="28.8">
      <c r="D51" s="5">
        <v>100239</v>
      </c>
      <c r="E51" s="7" t="s">
        <v>105</v>
      </c>
      <c r="F51" s="5" t="s">
        <v>95</v>
      </c>
      <c r="G51" s="12" t="s">
        <v>1623</v>
      </c>
      <c r="H51" s="5" t="s">
        <v>107</v>
      </c>
      <c r="I51" s="37" t="s">
        <v>1585</v>
      </c>
      <c r="J51" s="12" t="s">
        <v>1624</v>
      </c>
      <c r="N51" t="s">
        <v>2259</v>
      </c>
    </row>
    <row r="52" spans="4:14" ht="28.8">
      <c r="D52" s="5">
        <v>100238</v>
      </c>
      <c r="E52" s="7" t="s">
        <v>105</v>
      </c>
      <c r="F52" s="5" t="s">
        <v>95</v>
      </c>
      <c r="G52" s="12" t="s">
        <v>1625</v>
      </c>
      <c r="H52" s="5" t="s">
        <v>106</v>
      </c>
      <c r="I52" s="37" t="s">
        <v>1585</v>
      </c>
      <c r="J52" s="12" t="s">
        <v>1626</v>
      </c>
      <c r="N52" t="s">
        <v>2261</v>
      </c>
    </row>
    <row r="53" spans="4:14" ht="28.8">
      <c r="D53" s="5">
        <v>100219</v>
      </c>
      <c r="E53" s="7" t="s">
        <v>100</v>
      </c>
      <c r="F53" s="5" t="s">
        <v>95</v>
      </c>
      <c r="G53" s="12" t="s">
        <v>1627</v>
      </c>
      <c r="H53" s="5" t="s">
        <v>97</v>
      </c>
      <c r="I53" s="37" t="s">
        <v>1582</v>
      </c>
      <c r="J53" s="12" t="s">
        <v>1628</v>
      </c>
      <c r="N53" t="s">
        <v>2265</v>
      </c>
    </row>
    <row r="54" spans="4:14" ht="28.8">
      <c r="D54" s="5">
        <v>100225</v>
      </c>
      <c r="E54" s="7" t="s">
        <v>103</v>
      </c>
      <c r="F54" s="5" t="s">
        <v>95</v>
      </c>
      <c r="G54" s="12" t="s">
        <v>1629</v>
      </c>
      <c r="H54" s="5" t="s">
        <v>97</v>
      </c>
      <c r="I54" s="37" t="s">
        <v>1582</v>
      </c>
      <c r="J54" s="12" t="s">
        <v>1630</v>
      </c>
      <c r="N54" t="s">
        <v>2280</v>
      </c>
    </row>
    <row r="55" spans="4:14" ht="28.8">
      <c r="D55" s="5">
        <v>100226</v>
      </c>
      <c r="E55" s="7" t="s">
        <v>104</v>
      </c>
      <c r="F55" s="5" t="s">
        <v>95</v>
      </c>
      <c r="G55" s="12" t="s">
        <v>1631</v>
      </c>
      <c r="H55" s="5" t="s">
        <v>97</v>
      </c>
      <c r="I55" s="37" t="s">
        <v>1582</v>
      </c>
      <c r="J55" s="12" t="s">
        <v>1632</v>
      </c>
      <c r="N55" t="s">
        <v>2281</v>
      </c>
    </row>
    <row r="56" spans="4:14" ht="28.8">
      <c r="D56" s="5">
        <v>100224</v>
      </c>
      <c r="E56" s="7" t="s">
        <v>102</v>
      </c>
      <c r="F56" s="5" t="s">
        <v>95</v>
      </c>
      <c r="G56" s="12" t="s">
        <v>1633</v>
      </c>
      <c r="H56" s="5" t="s">
        <v>97</v>
      </c>
      <c r="I56" s="37" t="s">
        <v>1582</v>
      </c>
      <c r="J56" s="12" t="s">
        <v>1634</v>
      </c>
      <c r="N56" t="s">
        <v>2284</v>
      </c>
    </row>
    <row r="57" spans="4:14" ht="28.8">
      <c r="D57" s="5">
        <v>100293</v>
      </c>
      <c r="E57" s="4" t="s">
        <v>118</v>
      </c>
      <c r="F57" s="5" t="s">
        <v>95</v>
      </c>
      <c r="G57" s="12" t="s">
        <v>1635</v>
      </c>
      <c r="H57" s="5" t="s">
        <v>119</v>
      </c>
      <c r="I57" s="37" t="s">
        <v>1636</v>
      </c>
      <c r="J57" s="12" t="s">
        <v>1637</v>
      </c>
      <c r="N57" t="s">
        <v>2273</v>
      </c>
    </row>
    <row r="58" spans="4:14" ht="28.8">
      <c r="D58" s="10">
        <v>100256</v>
      </c>
      <c r="E58" s="9" t="s">
        <v>114</v>
      </c>
      <c r="F58" s="10" t="s">
        <v>95</v>
      </c>
      <c r="G58" s="12" t="s">
        <v>1638</v>
      </c>
      <c r="H58" s="10" t="s">
        <v>115</v>
      </c>
      <c r="I58" s="37" t="s">
        <v>1639</v>
      </c>
      <c r="J58" s="12" t="s">
        <v>1640</v>
      </c>
      <c r="N58" t="s">
        <v>2282</v>
      </c>
    </row>
    <row r="59" spans="4:14" ht="28.8">
      <c r="D59" s="10">
        <v>100254</v>
      </c>
      <c r="E59" s="9" t="s">
        <v>112</v>
      </c>
      <c r="F59" s="10" t="s">
        <v>95</v>
      </c>
      <c r="G59" s="12" t="s">
        <v>1641</v>
      </c>
      <c r="H59" s="10" t="s">
        <v>113</v>
      </c>
      <c r="I59" s="37" t="s">
        <v>1585</v>
      </c>
      <c r="J59" s="12" t="s">
        <v>1642</v>
      </c>
      <c r="N59" t="s">
        <v>2275</v>
      </c>
    </row>
    <row r="60" spans="4:14" ht="43.2">
      <c r="D60" s="10">
        <v>110860</v>
      </c>
      <c r="E60" s="9" t="s">
        <v>133</v>
      </c>
      <c r="F60" s="10" t="s">
        <v>95</v>
      </c>
      <c r="G60" s="12" t="s">
        <v>1643</v>
      </c>
      <c r="H60" s="10" t="s">
        <v>65</v>
      </c>
      <c r="I60" s="37" t="s">
        <v>1585</v>
      </c>
      <c r="J60" s="12" t="s">
        <v>1642</v>
      </c>
      <c r="N60" t="s">
        <v>2262</v>
      </c>
    </row>
    <row r="61" spans="4:14" ht="43.2">
      <c r="D61" s="5">
        <v>110846</v>
      </c>
      <c r="E61" s="4" t="s">
        <v>130</v>
      </c>
      <c r="F61" s="5" t="s">
        <v>95</v>
      </c>
      <c r="G61" s="12" t="s">
        <v>1644</v>
      </c>
      <c r="H61" s="5" t="s">
        <v>65</v>
      </c>
      <c r="I61" s="37" t="s">
        <v>1585</v>
      </c>
      <c r="J61" s="12" t="s">
        <v>1642</v>
      </c>
      <c r="N61" t="s">
        <v>2266</v>
      </c>
    </row>
    <row r="62" spans="4:14">
      <c r="D62" s="5">
        <v>110857</v>
      </c>
      <c r="E62" s="4" t="s">
        <v>157</v>
      </c>
      <c r="F62" s="6" t="s">
        <v>137</v>
      </c>
      <c r="G62" s="12" t="s">
        <v>1645</v>
      </c>
      <c r="H62" s="6" t="s">
        <v>139</v>
      </c>
      <c r="I62" s="37" t="s">
        <v>1646</v>
      </c>
      <c r="J62" s="12" t="s">
        <v>1647</v>
      </c>
      <c r="N62" t="s">
        <v>2254</v>
      </c>
    </row>
    <row r="63" spans="4:14">
      <c r="D63" s="5">
        <v>100400</v>
      </c>
      <c r="E63" s="4" t="s">
        <v>138</v>
      </c>
      <c r="F63" s="5" t="s">
        <v>137</v>
      </c>
      <c r="G63" s="12" t="s">
        <v>1648</v>
      </c>
      <c r="H63" s="5" t="s">
        <v>139</v>
      </c>
      <c r="I63" s="37" t="s">
        <v>1646</v>
      </c>
      <c r="J63" s="12" t="s">
        <v>1647</v>
      </c>
      <c r="N63" t="s">
        <v>2260</v>
      </c>
    </row>
    <row r="64" spans="4:14" ht="28.8">
      <c r="D64" s="5">
        <v>110211</v>
      </c>
      <c r="E64" s="4" t="s">
        <v>147</v>
      </c>
      <c r="F64" s="5" t="s">
        <v>137</v>
      </c>
      <c r="G64" s="12" t="s">
        <v>1649</v>
      </c>
      <c r="H64" s="5" t="s">
        <v>139</v>
      </c>
      <c r="I64" s="37" t="s">
        <v>1646</v>
      </c>
      <c r="J64" s="12" t="s">
        <v>1647</v>
      </c>
      <c r="N64" t="s">
        <v>2272</v>
      </c>
    </row>
    <row r="65" spans="4:14" ht="28.8">
      <c r="D65" s="5">
        <v>110208</v>
      </c>
      <c r="E65" s="4" t="s">
        <v>147</v>
      </c>
      <c r="F65" s="5" t="s">
        <v>137</v>
      </c>
      <c r="G65" s="12" t="s">
        <v>1650</v>
      </c>
      <c r="H65" s="5" t="s">
        <v>144</v>
      </c>
      <c r="I65" s="37" t="s">
        <v>1646</v>
      </c>
      <c r="J65" s="12" t="s">
        <v>1647</v>
      </c>
      <c r="N65" t="s">
        <v>2271</v>
      </c>
    </row>
    <row r="66" spans="4:14">
      <c r="D66" s="5">
        <v>100465</v>
      </c>
      <c r="E66" s="4" t="s">
        <v>141</v>
      </c>
      <c r="F66" s="5" t="s">
        <v>137</v>
      </c>
      <c r="G66" s="12" t="s">
        <v>1651</v>
      </c>
      <c r="H66" s="5" t="s">
        <v>142</v>
      </c>
      <c r="I66" s="37" t="s">
        <v>1652</v>
      </c>
      <c r="J66" s="12" t="s">
        <v>1653</v>
      </c>
      <c r="N66" t="s">
        <v>2270</v>
      </c>
    </row>
    <row r="67" spans="4:14" ht="28.8">
      <c r="D67" s="5">
        <v>110393</v>
      </c>
      <c r="E67" s="4" t="s">
        <v>148</v>
      </c>
      <c r="F67" s="5" t="s">
        <v>137</v>
      </c>
      <c r="G67" s="12" t="s">
        <v>1654</v>
      </c>
      <c r="H67" s="6" t="s">
        <v>149</v>
      </c>
      <c r="I67" s="37" t="s">
        <v>1655</v>
      </c>
      <c r="J67" s="12" t="s">
        <v>1656</v>
      </c>
      <c r="N67" t="s">
        <v>2214</v>
      </c>
    </row>
    <row r="68" spans="4:14" ht="28.8">
      <c r="D68" s="5">
        <v>110501</v>
      </c>
      <c r="E68" s="4" t="s">
        <v>152</v>
      </c>
      <c r="F68" s="5" t="s">
        <v>137</v>
      </c>
      <c r="G68" s="12" t="s">
        <v>1657</v>
      </c>
      <c r="H68" s="6" t="s">
        <v>153</v>
      </c>
      <c r="I68" s="37" t="s">
        <v>1652</v>
      </c>
      <c r="J68" s="12" t="s">
        <v>1658</v>
      </c>
      <c r="N68" t="s">
        <v>2216</v>
      </c>
    </row>
    <row r="69" spans="4:14" ht="28.8">
      <c r="D69" s="5">
        <v>110520</v>
      </c>
      <c r="E69" s="4" t="s">
        <v>156</v>
      </c>
      <c r="F69" s="5" t="s">
        <v>137</v>
      </c>
      <c r="G69" s="12" t="s">
        <v>1659</v>
      </c>
      <c r="H69" s="6" t="s">
        <v>153</v>
      </c>
      <c r="I69" s="37" t="s">
        <v>1652</v>
      </c>
      <c r="J69" s="12" t="s">
        <v>1660</v>
      </c>
      <c r="N69" t="s">
        <v>2222</v>
      </c>
    </row>
    <row r="70" spans="4:14" ht="28.8">
      <c r="D70" s="5">
        <v>110504</v>
      </c>
      <c r="E70" s="4" t="s">
        <v>154</v>
      </c>
      <c r="F70" s="5" t="s">
        <v>137</v>
      </c>
      <c r="G70" s="12" t="s">
        <v>1661</v>
      </c>
      <c r="H70" s="5" t="s">
        <v>153</v>
      </c>
      <c r="I70" s="37" t="s">
        <v>1652</v>
      </c>
      <c r="J70" s="12" t="s">
        <v>1662</v>
      </c>
      <c r="N70" t="s">
        <v>2224</v>
      </c>
    </row>
    <row r="71" spans="4:14" ht="28.8">
      <c r="D71" s="5">
        <v>110506</v>
      </c>
      <c r="E71" s="4" t="s">
        <v>155</v>
      </c>
      <c r="F71" s="5" t="s">
        <v>137</v>
      </c>
      <c r="G71" s="12" t="s">
        <v>1663</v>
      </c>
      <c r="H71" s="6" t="s">
        <v>153</v>
      </c>
      <c r="I71" s="37" t="s">
        <v>1652</v>
      </c>
      <c r="J71" s="12" t="s">
        <v>1664</v>
      </c>
      <c r="N71" t="s">
        <v>2221</v>
      </c>
    </row>
    <row r="72" spans="4:14" ht="28.8">
      <c r="D72" s="5">
        <v>100425</v>
      </c>
      <c r="E72" s="4" t="s">
        <v>140</v>
      </c>
      <c r="F72" s="5" t="s">
        <v>137</v>
      </c>
      <c r="G72" s="12" t="s">
        <v>1665</v>
      </c>
      <c r="H72" s="6" t="s">
        <v>107</v>
      </c>
      <c r="I72" s="37" t="s">
        <v>1652</v>
      </c>
      <c r="J72" s="12" t="s">
        <v>1664</v>
      </c>
      <c r="N72" t="s">
        <v>2223</v>
      </c>
    </row>
    <row r="73" spans="4:14">
      <c r="D73" s="5">
        <v>101031</v>
      </c>
      <c r="E73" s="4" t="s">
        <v>145</v>
      </c>
      <c r="F73" s="5" t="s">
        <v>137</v>
      </c>
      <c r="G73" s="12" t="s">
        <v>1666</v>
      </c>
      <c r="H73" s="6" t="s">
        <v>144</v>
      </c>
      <c r="I73" s="37" t="s">
        <v>1652</v>
      </c>
      <c r="J73" s="12" t="s">
        <v>1667</v>
      </c>
      <c r="N73" t="s">
        <v>2215</v>
      </c>
    </row>
    <row r="74" spans="4:14" ht="28.8">
      <c r="D74" s="5">
        <v>100500</v>
      </c>
      <c r="E74" s="4" t="s">
        <v>145</v>
      </c>
      <c r="F74" s="5" t="s">
        <v>137</v>
      </c>
      <c r="G74" s="12" t="s">
        <v>1668</v>
      </c>
      <c r="H74" s="6" t="s">
        <v>146</v>
      </c>
      <c r="I74" s="37" t="s">
        <v>1652</v>
      </c>
      <c r="J74" s="12" t="s">
        <v>1667</v>
      </c>
      <c r="N74" t="s">
        <v>2219</v>
      </c>
    </row>
    <row r="75" spans="4:14">
      <c r="D75" s="5">
        <v>100494</v>
      </c>
      <c r="E75" s="4" t="s">
        <v>143</v>
      </c>
      <c r="F75" s="5" t="s">
        <v>137</v>
      </c>
      <c r="G75" s="12" t="s">
        <v>1669</v>
      </c>
      <c r="H75" s="6" t="s">
        <v>144</v>
      </c>
      <c r="I75" s="37" t="s">
        <v>1652</v>
      </c>
      <c r="J75" s="12" t="s">
        <v>1667</v>
      </c>
      <c r="N75" t="s">
        <v>2218</v>
      </c>
    </row>
    <row r="76" spans="4:14" ht="43.2">
      <c r="D76" s="5">
        <v>110394</v>
      </c>
      <c r="E76" s="4" t="s">
        <v>150</v>
      </c>
      <c r="F76" s="5" t="s">
        <v>137</v>
      </c>
      <c r="G76" s="12" t="s">
        <v>1670</v>
      </c>
      <c r="H76" s="11" t="s">
        <v>151</v>
      </c>
      <c r="I76" s="37" t="s">
        <v>1671</v>
      </c>
      <c r="J76" s="12" t="s">
        <v>1672</v>
      </c>
      <c r="N76" t="s">
        <v>2213</v>
      </c>
    </row>
    <row r="77" spans="4:14" ht="28.8">
      <c r="D77" s="5">
        <v>100371</v>
      </c>
      <c r="E77" s="4" t="s">
        <v>168</v>
      </c>
      <c r="F77" s="5" t="s">
        <v>158</v>
      </c>
      <c r="G77" s="12" t="s">
        <v>1673</v>
      </c>
      <c r="H77" s="5" t="s">
        <v>97</v>
      </c>
      <c r="I77" s="37" t="s">
        <v>1582</v>
      </c>
      <c r="J77" s="12" t="s">
        <v>1674</v>
      </c>
      <c r="N77" t="s">
        <v>2217</v>
      </c>
    </row>
    <row r="78" spans="4:14" ht="28.8">
      <c r="D78" s="5">
        <v>100359</v>
      </c>
      <c r="E78" s="7" t="s">
        <v>159</v>
      </c>
      <c r="F78" s="5" t="s">
        <v>158</v>
      </c>
      <c r="G78" s="12" t="s">
        <v>1675</v>
      </c>
      <c r="H78" s="5" t="s">
        <v>97</v>
      </c>
      <c r="I78" s="37" t="s">
        <v>1582</v>
      </c>
      <c r="J78" s="12" t="s">
        <v>1676</v>
      </c>
      <c r="N78" t="s">
        <v>2220</v>
      </c>
    </row>
    <row r="79" spans="4:14" ht="28.8">
      <c r="D79" s="5">
        <v>100368</v>
      </c>
      <c r="E79" s="7" t="s">
        <v>165</v>
      </c>
      <c r="F79" s="5" t="s">
        <v>158</v>
      </c>
      <c r="G79" s="12" t="s">
        <v>1677</v>
      </c>
      <c r="H79" s="5" t="s">
        <v>97</v>
      </c>
      <c r="I79" s="37" t="s">
        <v>1582</v>
      </c>
      <c r="J79" s="12" t="s">
        <v>1678</v>
      </c>
      <c r="N79" t="s">
        <v>2226</v>
      </c>
    </row>
    <row r="80" spans="4:14" ht="28.8">
      <c r="D80" s="5">
        <v>100360</v>
      </c>
      <c r="E80" s="7" t="s">
        <v>160</v>
      </c>
      <c r="F80" s="5" t="s">
        <v>158</v>
      </c>
      <c r="G80" s="12" t="s">
        <v>1679</v>
      </c>
      <c r="H80" s="5" t="s">
        <v>97</v>
      </c>
      <c r="I80" s="37" t="s">
        <v>1582</v>
      </c>
      <c r="J80" s="12" t="s">
        <v>1680</v>
      </c>
      <c r="N80" t="s">
        <v>2199</v>
      </c>
    </row>
    <row r="81" spans="4:14" ht="28.8">
      <c r="D81" s="5">
        <v>100373</v>
      </c>
      <c r="E81" s="7" t="s">
        <v>169</v>
      </c>
      <c r="F81" s="5" t="s">
        <v>158</v>
      </c>
      <c r="G81" s="12" t="s">
        <v>1681</v>
      </c>
      <c r="H81" s="5" t="s">
        <v>97</v>
      </c>
      <c r="I81" s="37" t="s">
        <v>1582</v>
      </c>
      <c r="J81" s="12" t="s">
        <v>1682</v>
      </c>
      <c r="N81" t="s">
        <v>2208</v>
      </c>
    </row>
    <row r="82" spans="4:14" ht="28.8">
      <c r="D82" s="5">
        <v>100370</v>
      </c>
      <c r="E82" s="7" t="s">
        <v>167</v>
      </c>
      <c r="F82" s="5" t="s">
        <v>158</v>
      </c>
      <c r="G82" s="12" t="s">
        <v>1683</v>
      </c>
      <c r="H82" s="5" t="s">
        <v>97</v>
      </c>
      <c r="I82" s="37" t="s">
        <v>1582</v>
      </c>
      <c r="J82" s="12" t="s">
        <v>1682</v>
      </c>
      <c r="N82" t="s">
        <v>2229</v>
      </c>
    </row>
    <row r="83" spans="4:14" ht="28.8">
      <c r="D83" s="5">
        <v>100369</v>
      </c>
      <c r="E83" s="7" t="s">
        <v>166</v>
      </c>
      <c r="F83" s="5" t="s">
        <v>158</v>
      </c>
      <c r="G83" s="12" t="s">
        <v>1684</v>
      </c>
      <c r="H83" s="5" t="s">
        <v>97</v>
      </c>
      <c r="I83" s="37" t="s">
        <v>1582</v>
      </c>
      <c r="J83" s="12" t="s">
        <v>1682</v>
      </c>
      <c r="N83" t="s">
        <v>2202</v>
      </c>
    </row>
    <row r="84" spans="4:14">
      <c r="D84" s="5">
        <v>100382</v>
      </c>
      <c r="E84" s="4" t="s">
        <v>170</v>
      </c>
      <c r="F84" s="5" t="s">
        <v>158</v>
      </c>
      <c r="G84" s="12" t="s">
        <v>1685</v>
      </c>
      <c r="H84" s="6" t="s">
        <v>106</v>
      </c>
      <c r="I84" s="40" t="s">
        <v>1686</v>
      </c>
      <c r="J84" s="12" t="s">
        <v>1687</v>
      </c>
      <c r="N84" t="s">
        <v>2211</v>
      </c>
    </row>
    <row r="85" spans="4:14" ht="28.8">
      <c r="D85" s="5">
        <v>100365</v>
      </c>
      <c r="E85" s="4" t="s">
        <v>163</v>
      </c>
      <c r="F85" s="5" t="s">
        <v>158</v>
      </c>
      <c r="G85" s="12" t="s">
        <v>1688</v>
      </c>
      <c r="H85" s="5" t="s">
        <v>97</v>
      </c>
      <c r="I85" s="37" t="s">
        <v>1582</v>
      </c>
      <c r="J85" s="12" t="s">
        <v>1682</v>
      </c>
      <c r="N85" t="s">
        <v>2210</v>
      </c>
    </row>
    <row r="86" spans="4:14" ht="43.2">
      <c r="D86" s="5">
        <v>100362</v>
      </c>
      <c r="E86" s="4" t="s">
        <v>161</v>
      </c>
      <c r="F86" s="5" t="s">
        <v>158</v>
      </c>
      <c r="G86" s="12" t="s">
        <v>1689</v>
      </c>
      <c r="H86" s="5" t="s">
        <v>97</v>
      </c>
      <c r="I86" s="37" t="s">
        <v>1582</v>
      </c>
      <c r="J86" s="12" t="s">
        <v>1674</v>
      </c>
      <c r="N86" t="s">
        <v>2236</v>
      </c>
    </row>
    <row r="87" spans="4:14" ht="28.8">
      <c r="D87" s="5">
        <v>100366</v>
      </c>
      <c r="E87" s="4" t="s">
        <v>164</v>
      </c>
      <c r="F87" s="5" t="s">
        <v>158</v>
      </c>
      <c r="G87" s="12" t="s">
        <v>1690</v>
      </c>
      <c r="H87" s="5" t="s">
        <v>97</v>
      </c>
      <c r="I87" s="37" t="s">
        <v>1582</v>
      </c>
      <c r="J87" s="12" t="s">
        <v>1682</v>
      </c>
      <c r="N87" t="s">
        <v>2228</v>
      </c>
    </row>
    <row r="88" spans="4:14" ht="57.6">
      <c r="D88" s="5">
        <v>100364</v>
      </c>
      <c r="E88" s="4" t="s">
        <v>162</v>
      </c>
      <c r="F88" s="5" t="s">
        <v>158</v>
      </c>
      <c r="G88" s="12" t="s">
        <v>1691</v>
      </c>
      <c r="H88" s="5" t="s">
        <v>97</v>
      </c>
      <c r="I88" s="37" t="s">
        <v>1582</v>
      </c>
      <c r="J88" s="12" t="s">
        <v>1674</v>
      </c>
      <c r="N88" t="s">
        <v>2209</v>
      </c>
    </row>
    <row r="89" spans="4:14" ht="28.8">
      <c r="D89" s="5">
        <v>111860</v>
      </c>
      <c r="E89" s="4" t="s">
        <v>2084</v>
      </c>
      <c r="F89" s="5" t="s">
        <v>158</v>
      </c>
      <c r="G89" s="12" t="s">
        <v>2085</v>
      </c>
      <c r="H89" s="5" t="s">
        <v>73</v>
      </c>
      <c r="I89" s="37" t="s">
        <v>2087</v>
      </c>
      <c r="J89" s="12" t="s">
        <v>2086</v>
      </c>
      <c r="N89" t="s">
        <v>2241</v>
      </c>
    </row>
    <row r="90" spans="4:14" ht="28.8">
      <c r="D90" s="5">
        <v>100396</v>
      </c>
      <c r="E90" s="4" t="s">
        <v>172</v>
      </c>
      <c r="F90" s="5" t="s">
        <v>171</v>
      </c>
      <c r="G90" s="12" t="s">
        <v>1692</v>
      </c>
      <c r="H90" s="5" t="s">
        <v>173</v>
      </c>
      <c r="I90" s="37" t="s">
        <v>1693</v>
      </c>
      <c r="J90" s="12" t="s">
        <v>1694</v>
      </c>
      <c r="N90" t="s">
        <v>2154</v>
      </c>
    </row>
    <row r="91" spans="4:14" ht="43.2">
      <c r="D91" s="5">
        <v>110854</v>
      </c>
      <c r="E91" s="4" t="s">
        <v>175</v>
      </c>
      <c r="F91" s="5" t="s">
        <v>171</v>
      </c>
      <c r="G91" s="12" t="s">
        <v>1695</v>
      </c>
      <c r="H91" s="5" t="s">
        <v>176</v>
      </c>
      <c r="I91" s="37" t="s">
        <v>1696</v>
      </c>
      <c r="J91" s="12" t="s">
        <v>1697</v>
      </c>
      <c r="N91" t="s">
        <v>2276</v>
      </c>
    </row>
    <row r="92" spans="4:14" ht="43.2">
      <c r="D92" s="5">
        <v>100935</v>
      </c>
      <c r="E92" s="4" t="s">
        <v>174</v>
      </c>
      <c r="F92" s="5" t="s">
        <v>171</v>
      </c>
      <c r="G92" s="12" t="s">
        <v>1698</v>
      </c>
      <c r="H92" s="5" t="s">
        <v>173</v>
      </c>
      <c r="I92" s="37" t="s">
        <v>1693</v>
      </c>
      <c r="J92" s="12" t="s">
        <v>1699</v>
      </c>
      <c r="N92" t="s">
        <v>2274</v>
      </c>
    </row>
    <row r="93" spans="4:14" ht="43.2">
      <c r="D93" s="5">
        <v>100439</v>
      </c>
      <c r="E93" s="4" t="s">
        <v>178</v>
      </c>
      <c r="F93" s="5" t="s">
        <v>177</v>
      </c>
      <c r="G93" s="12" t="s">
        <v>1700</v>
      </c>
      <c r="H93" s="5" t="s">
        <v>179</v>
      </c>
      <c r="I93" s="37" t="s">
        <v>1701</v>
      </c>
      <c r="J93" s="12" t="s">
        <v>1702</v>
      </c>
      <c r="N93" t="s">
        <v>2283</v>
      </c>
    </row>
    <row r="94" spans="4:14" ht="28.8">
      <c r="D94" s="5">
        <v>100184</v>
      </c>
      <c r="E94" s="4" t="s">
        <v>597</v>
      </c>
      <c r="F94" s="5" t="s">
        <v>180</v>
      </c>
      <c r="G94" s="12" t="s">
        <v>1703</v>
      </c>
      <c r="H94" s="6" t="s">
        <v>184</v>
      </c>
      <c r="I94" s="37" t="s">
        <v>1704</v>
      </c>
      <c r="J94" s="12" t="s">
        <v>1705</v>
      </c>
      <c r="N94" t="s">
        <v>2201</v>
      </c>
    </row>
    <row r="95" spans="4:14" ht="28.8">
      <c r="D95" s="5">
        <v>100188</v>
      </c>
      <c r="E95" s="4" t="s">
        <v>187</v>
      </c>
      <c r="F95" s="5" t="s">
        <v>180</v>
      </c>
      <c r="G95" s="12" t="s">
        <v>1706</v>
      </c>
      <c r="H95" s="5" t="s">
        <v>93</v>
      </c>
      <c r="I95" s="37" t="s">
        <v>1704</v>
      </c>
      <c r="J95" s="12" t="s">
        <v>1705</v>
      </c>
      <c r="N95" t="s">
        <v>2200</v>
      </c>
    </row>
    <row r="96" spans="4:14" ht="43.2">
      <c r="D96" s="5">
        <v>100187</v>
      </c>
      <c r="E96" s="4" t="s">
        <v>185</v>
      </c>
      <c r="F96" s="5" t="s">
        <v>180</v>
      </c>
      <c r="G96" s="12" t="s">
        <v>1707</v>
      </c>
      <c r="H96" s="5" t="s">
        <v>186</v>
      </c>
      <c r="I96" s="37" t="s">
        <v>1704</v>
      </c>
      <c r="J96" s="12" t="s">
        <v>1705</v>
      </c>
      <c r="N96" t="s">
        <v>2172</v>
      </c>
    </row>
    <row r="97" spans="4:14" ht="28.8">
      <c r="D97" s="5">
        <v>100139</v>
      </c>
      <c r="E97" s="4" t="s">
        <v>2092</v>
      </c>
      <c r="F97" s="5" t="s">
        <v>180</v>
      </c>
      <c r="G97" s="12" t="s">
        <v>1708</v>
      </c>
      <c r="H97" s="5" t="s">
        <v>181</v>
      </c>
      <c r="I97" s="37" t="s">
        <v>1521</v>
      </c>
      <c r="J97" s="12" t="s">
        <v>1709</v>
      </c>
      <c r="N97" t="s">
        <v>2177</v>
      </c>
    </row>
    <row r="98" spans="4:14" ht="28.8">
      <c r="D98" s="5">
        <v>100173</v>
      </c>
      <c r="E98" s="4" t="s">
        <v>2137</v>
      </c>
      <c r="F98" s="5" t="s">
        <v>180</v>
      </c>
      <c r="G98" s="12" t="s">
        <v>1710</v>
      </c>
      <c r="H98" s="6" t="s">
        <v>182</v>
      </c>
      <c r="I98" s="37" t="s">
        <v>1711</v>
      </c>
      <c r="J98" s="12" t="s">
        <v>1712</v>
      </c>
      <c r="N98" t="s">
        <v>2174</v>
      </c>
    </row>
    <row r="99" spans="4:14" ht="28.8">
      <c r="D99" s="5">
        <v>110730</v>
      </c>
      <c r="E99" s="4" t="s">
        <v>188</v>
      </c>
      <c r="F99" s="5" t="s">
        <v>180</v>
      </c>
      <c r="G99" s="12" t="s">
        <v>1713</v>
      </c>
      <c r="H99" s="6" t="s">
        <v>93</v>
      </c>
      <c r="I99" s="37" t="s">
        <v>1579</v>
      </c>
      <c r="J99" s="12" t="s">
        <v>1714</v>
      </c>
      <c r="N99" t="s">
        <v>2176</v>
      </c>
    </row>
    <row r="100" spans="4:14" ht="28.8">
      <c r="D100" s="5">
        <v>100877</v>
      </c>
      <c r="E100" s="4" t="s">
        <v>2100</v>
      </c>
      <c r="F100" s="5" t="s">
        <v>189</v>
      </c>
      <c r="G100" s="12" t="s">
        <v>1715</v>
      </c>
      <c r="H100" s="5" t="s">
        <v>200</v>
      </c>
      <c r="I100" s="37" t="s">
        <v>1579</v>
      </c>
      <c r="J100" s="12" t="s">
        <v>1716</v>
      </c>
      <c r="N100" t="s">
        <v>2173</v>
      </c>
    </row>
    <row r="101" spans="4:14" ht="43.2">
      <c r="D101" s="5">
        <v>111361</v>
      </c>
      <c r="E101" s="4" t="s">
        <v>2098</v>
      </c>
      <c r="F101" s="5" t="s">
        <v>189</v>
      </c>
      <c r="G101" s="12" t="s">
        <v>1717</v>
      </c>
      <c r="H101" s="6" t="s">
        <v>57</v>
      </c>
      <c r="I101" s="37" t="s">
        <v>1718</v>
      </c>
      <c r="J101" s="12" t="s">
        <v>1719</v>
      </c>
      <c r="N101" t="s">
        <v>2142</v>
      </c>
    </row>
    <row r="102" spans="4:14" ht="43.2">
      <c r="D102" s="5">
        <v>100101</v>
      </c>
      <c r="E102" s="4" t="s">
        <v>466</v>
      </c>
      <c r="F102" s="5" t="s">
        <v>189</v>
      </c>
      <c r="G102" s="12" t="s">
        <v>1720</v>
      </c>
      <c r="H102" s="6" t="s">
        <v>93</v>
      </c>
      <c r="I102" s="37" t="s">
        <v>1579</v>
      </c>
      <c r="J102" s="12" t="s">
        <v>1721</v>
      </c>
      <c r="N102" t="s">
        <v>2203</v>
      </c>
    </row>
    <row r="103" spans="4:14" ht="43.2">
      <c r="D103" s="5">
        <v>100117</v>
      </c>
      <c r="E103" s="4" t="s">
        <v>478</v>
      </c>
      <c r="F103" s="5" t="s">
        <v>189</v>
      </c>
      <c r="G103" s="12" t="s">
        <v>1722</v>
      </c>
      <c r="H103" s="6" t="s">
        <v>192</v>
      </c>
      <c r="I103" s="37" t="s">
        <v>1579</v>
      </c>
      <c r="J103" s="12" t="s">
        <v>1723</v>
      </c>
      <c r="N103" t="s">
        <v>2212</v>
      </c>
    </row>
    <row r="104" spans="4:14" ht="43.2">
      <c r="D104" s="5">
        <v>110921</v>
      </c>
      <c r="E104" s="4" t="s">
        <v>208</v>
      </c>
      <c r="F104" s="5" t="s">
        <v>189</v>
      </c>
      <c r="G104" s="12" t="s">
        <v>1724</v>
      </c>
      <c r="H104" s="6" t="s">
        <v>192</v>
      </c>
      <c r="I104" s="37" t="s">
        <v>1725</v>
      </c>
      <c r="J104" s="12" t="s">
        <v>1726</v>
      </c>
      <c r="N104" t="s">
        <v>2191</v>
      </c>
    </row>
    <row r="105" spans="4:14" ht="28.8">
      <c r="D105" s="5">
        <v>110080</v>
      </c>
      <c r="E105" s="4" t="s">
        <v>1146</v>
      </c>
      <c r="F105" s="5" t="s">
        <v>189</v>
      </c>
      <c r="G105" s="12" t="s">
        <v>1727</v>
      </c>
      <c r="H105" s="6" t="s">
        <v>203</v>
      </c>
      <c r="I105" s="37" t="s">
        <v>1579</v>
      </c>
      <c r="J105" s="12" t="s">
        <v>1728</v>
      </c>
      <c r="N105" t="s">
        <v>2286</v>
      </c>
    </row>
    <row r="106" spans="4:14" ht="28.8">
      <c r="D106" s="5">
        <v>111881</v>
      </c>
      <c r="E106" s="4" t="s">
        <v>2088</v>
      </c>
      <c r="F106" s="5" t="s">
        <v>189</v>
      </c>
      <c r="G106" s="12" t="s">
        <v>2089</v>
      </c>
      <c r="H106" s="6" t="s">
        <v>93</v>
      </c>
      <c r="I106" s="37" t="s">
        <v>1579</v>
      </c>
      <c r="J106" s="12" t="s">
        <v>2090</v>
      </c>
      <c r="N106" t="s">
        <v>2287</v>
      </c>
    </row>
    <row r="107" spans="4:14" ht="57.6">
      <c r="D107" s="6">
        <v>110462</v>
      </c>
      <c r="E107" s="7" t="s">
        <v>204</v>
      </c>
      <c r="F107" s="5" t="s">
        <v>189</v>
      </c>
      <c r="G107" s="12" t="s">
        <v>1729</v>
      </c>
      <c r="H107" s="5" t="s">
        <v>192</v>
      </c>
      <c r="I107" s="37" t="s">
        <v>1579</v>
      </c>
      <c r="J107" s="12" t="s">
        <v>1730</v>
      </c>
      <c r="N107" t="s">
        <v>2288</v>
      </c>
    </row>
    <row r="108" spans="4:14" ht="28.8">
      <c r="D108" s="5">
        <v>100121</v>
      </c>
      <c r="E108" s="4" t="s">
        <v>518</v>
      </c>
      <c r="F108" s="5" t="s">
        <v>189</v>
      </c>
      <c r="G108" s="12" t="s">
        <v>1731</v>
      </c>
      <c r="H108" s="5" t="s">
        <v>196</v>
      </c>
      <c r="I108" s="37" t="s">
        <v>1725</v>
      </c>
      <c r="J108" s="12" t="s">
        <v>1732</v>
      </c>
      <c r="N108" t="s">
        <v>2277</v>
      </c>
    </row>
    <row r="109" spans="4:14" ht="43.2">
      <c r="D109" s="5">
        <v>111900</v>
      </c>
      <c r="E109" s="4" t="s">
        <v>205</v>
      </c>
      <c r="F109" s="5" t="s">
        <v>189</v>
      </c>
      <c r="G109" s="12" t="s">
        <v>1733</v>
      </c>
      <c r="H109" s="5" t="s">
        <v>186</v>
      </c>
      <c r="I109" s="37" t="s">
        <v>1725</v>
      </c>
      <c r="J109" s="12" t="s">
        <v>1734</v>
      </c>
      <c r="N109" t="s">
        <v>2243</v>
      </c>
    </row>
    <row r="110" spans="4:14" ht="28.8">
      <c r="D110" s="5">
        <v>100122</v>
      </c>
      <c r="E110" s="4" t="s">
        <v>536</v>
      </c>
      <c r="F110" s="5" t="s">
        <v>189</v>
      </c>
      <c r="G110" s="12" t="s">
        <v>1735</v>
      </c>
      <c r="H110" s="5" t="s">
        <v>196</v>
      </c>
      <c r="I110" s="37" t="s">
        <v>1725</v>
      </c>
      <c r="J110" s="12" t="s">
        <v>1736</v>
      </c>
      <c r="N110" t="s">
        <v>2256</v>
      </c>
    </row>
    <row r="111" spans="4:14" ht="43.2">
      <c r="D111" s="5">
        <v>111882</v>
      </c>
      <c r="E111" s="4" t="s">
        <v>206</v>
      </c>
      <c r="F111" s="5" t="s">
        <v>189</v>
      </c>
      <c r="G111" s="12" t="s">
        <v>1737</v>
      </c>
      <c r="H111" s="5" t="s">
        <v>186</v>
      </c>
      <c r="I111" s="37" t="s">
        <v>1725</v>
      </c>
      <c r="J111" s="12" t="s">
        <v>1738</v>
      </c>
      <c r="N111" t="s">
        <v>2257</v>
      </c>
    </row>
    <row r="112" spans="4:14" ht="28.8">
      <c r="D112" s="5">
        <v>100126</v>
      </c>
      <c r="E112" s="4" t="s">
        <v>199</v>
      </c>
      <c r="F112" s="5" t="s">
        <v>189</v>
      </c>
      <c r="G112" s="12" t="s">
        <v>1739</v>
      </c>
      <c r="H112" s="6" t="s">
        <v>196</v>
      </c>
      <c r="I112" s="37" t="s">
        <v>1725</v>
      </c>
      <c r="J112" s="12" t="s">
        <v>1740</v>
      </c>
      <c r="N112" t="s">
        <v>2204</v>
      </c>
    </row>
    <row r="113" spans="4:14" ht="28.8">
      <c r="D113" s="5">
        <v>111893</v>
      </c>
      <c r="E113" s="4" t="s">
        <v>207</v>
      </c>
      <c r="F113" s="5" t="s">
        <v>189</v>
      </c>
      <c r="G113" s="12" t="s">
        <v>1741</v>
      </c>
      <c r="H113" s="6" t="s">
        <v>186</v>
      </c>
      <c r="I113" s="37" t="s">
        <v>1725</v>
      </c>
      <c r="J113" s="12" t="s">
        <v>1742</v>
      </c>
      <c r="N113" t="s">
        <v>2206</v>
      </c>
    </row>
    <row r="114" spans="4:14" ht="28.8">
      <c r="D114" s="5">
        <v>100125</v>
      </c>
      <c r="E114" s="4" t="s">
        <v>2099</v>
      </c>
      <c r="F114" s="5" t="s">
        <v>189</v>
      </c>
      <c r="G114" s="12" t="s">
        <v>1743</v>
      </c>
      <c r="H114" s="6" t="s">
        <v>198</v>
      </c>
      <c r="I114" s="37" t="s">
        <v>1718</v>
      </c>
      <c r="J114" s="12" t="s">
        <v>1744</v>
      </c>
      <c r="N114" t="s">
        <v>2207</v>
      </c>
    </row>
    <row r="115" spans="4:14" ht="28.8">
      <c r="D115" s="5">
        <v>100119</v>
      </c>
      <c r="E115" s="4" t="s">
        <v>493</v>
      </c>
      <c r="F115" s="5" t="s">
        <v>189</v>
      </c>
      <c r="G115" s="12" t="s">
        <v>1745</v>
      </c>
      <c r="H115" s="5" t="s">
        <v>194</v>
      </c>
      <c r="I115" s="37" t="s">
        <v>1579</v>
      </c>
      <c r="J115" s="12" t="s">
        <v>1746</v>
      </c>
      <c r="N115" t="s">
        <v>2205</v>
      </c>
    </row>
    <row r="116" spans="4:14">
      <c r="D116" s="30">
        <v>111368</v>
      </c>
      <c r="E116" s="31" t="s">
        <v>201</v>
      </c>
      <c r="F116" s="30" t="s">
        <v>189</v>
      </c>
      <c r="G116" s="35"/>
      <c r="H116" s="30" t="s">
        <v>58</v>
      </c>
      <c r="I116" s="38" t="s">
        <v>1579</v>
      </c>
      <c r="J116" s="35"/>
      <c r="N116" t="s">
        <v>2141</v>
      </c>
    </row>
    <row r="117" spans="4:14" ht="28.8">
      <c r="D117" s="5">
        <v>100307</v>
      </c>
      <c r="E117" s="7" t="s">
        <v>210</v>
      </c>
      <c r="F117" s="5" t="s">
        <v>209</v>
      </c>
      <c r="G117" s="12" t="s">
        <v>1747</v>
      </c>
      <c r="H117" s="5" t="s">
        <v>97</v>
      </c>
      <c r="I117" s="37" t="s">
        <v>1582</v>
      </c>
      <c r="J117" s="12" t="s">
        <v>1748</v>
      </c>
      <c r="N117" t="s">
        <v>2278</v>
      </c>
    </row>
    <row r="118" spans="4:14" ht="28.8">
      <c r="D118" s="5">
        <v>100351</v>
      </c>
      <c r="E118" s="4" t="s">
        <v>222</v>
      </c>
      <c r="F118" s="5" t="s">
        <v>209</v>
      </c>
      <c r="G118" s="12" t="s">
        <v>1749</v>
      </c>
      <c r="H118" s="5" t="s">
        <v>73</v>
      </c>
      <c r="I118" s="37" t="s">
        <v>1585</v>
      </c>
      <c r="J118" s="12" t="s">
        <v>1750</v>
      </c>
      <c r="N118" t="s">
        <v>2148</v>
      </c>
    </row>
    <row r="119" spans="4:14" ht="43.2">
      <c r="D119" s="5">
        <v>111054</v>
      </c>
      <c r="E119" s="4" t="s">
        <v>222</v>
      </c>
      <c r="F119" s="5" t="s">
        <v>209</v>
      </c>
      <c r="G119" s="12" t="s">
        <v>1751</v>
      </c>
      <c r="H119" s="5" t="s">
        <v>106</v>
      </c>
      <c r="I119" s="37" t="s">
        <v>1585</v>
      </c>
      <c r="J119" s="12" t="s">
        <v>1750</v>
      </c>
      <c r="N119" t="s">
        <v>2147</v>
      </c>
    </row>
    <row r="120" spans="4:14" ht="28.8">
      <c r="D120" s="5">
        <v>110473</v>
      </c>
      <c r="E120" s="4" t="s">
        <v>232</v>
      </c>
      <c r="F120" s="5" t="s">
        <v>209</v>
      </c>
      <c r="G120" s="12" t="s">
        <v>1752</v>
      </c>
      <c r="H120" s="5" t="s">
        <v>73</v>
      </c>
      <c r="I120" s="37" t="s">
        <v>1585</v>
      </c>
      <c r="J120" s="12" t="s">
        <v>1753</v>
      </c>
      <c r="N120" t="s">
        <v>2178</v>
      </c>
    </row>
    <row r="121" spans="4:14" ht="28.8">
      <c r="D121" s="5">
        <v>110480</v>
      </c>
      <c r="E121" s="4" t="s">
        <v>233</v>
      </c>
      <c r="F121" s="5" t="s">
        <v>209</v>
      </c>
      <c r="G121" s="12" t="s">
        <v>1754</v>
      </c>
      <c r="H121" s="5" t="s">
        <v>73</v>
      </c>
      <c r="I121" s="37" t="s">
        <v>1585</v>
      </c>
      <c r="J121" s="12" t="s">
        <v>1755</v>
      </c>
      <c r="N121" t="s">
        <v>2279</v>
      </c>
    </row>
    <row r="122" spans="4:14" ht="28.8">
      <c r="D122" s="5">
        <v>111052</v>
      </c>
      <c r="E122" s="4" t="s">
        <v>233</v>
      </c>
      <c r="F122" s="5" t="s">
        <v>209</v>
      </c>
      <c r="G122" s="12" t="s">
        <v>1756</v>
      </c>
      <c r="H122" s="5" t="s">
        <v>106</v>
      </c>
      <c r="I122" s="37" t="s">
        <v>1585</v>
      </c>
      <c r="J122" s="12" t="s">
        <v>1755</v>
      </c>
      <c r="N122" t="s">
        <v>2152</v>
      </c>
    </row>
    <row r="123" spans="4:14" ht="28.8">
      <c r="D123" s="5">
        <v>100309</v>
      </c>
      <c r="E123" s="4" t="s">
        <v>211</v>
      </c>
      <c r="F123" s="5" t="s">
        <v>209</v>
      </c>
      <c r="G123" s="12" t="s">
        <v>1757</v>
      </c>
      <c r="H123" s="5" t="s">
        <v>97</v>
      </c>
      <c r="I123" s="41" t="s">
        <v>1582</v>
      </c>
      <c r="J123" s="12" t="s">
        <v>1758</v>
      </c>
      <c r="N123" t="s">
        <v>2268</v>
      </c>
    </row>
    <row r="124" spans="4:14" ht="28.8">
      <c r="D124" s="5">
        <v>100352</v>
      </c>
      <c r="E124" s="4" t="s">
        <v>223</v>
      </c>
      <c r="F124" s="5" t="s">
        <v>209</v>
      </c>
      <c r="G124" s="12" t="s">
        <v>1759</v>
      </c>
      <c r="H124" s="5" t="s">
        <v>73</v>
      </c>
      <c r="I124" s="37" t="s">
        <v>1585</v>
      </c>
      <c r="J124" s="12" t="s">
        <v>1755</v>
      </c>
      <c r="N124" t="s">
        <v>2235</v>
      </c>
    </row>
    <row r="125" spans="4:14" ht="28.8">
      <c r="D125" s="5">
        <v>100313</v>
      </c>
      <c r="E125" s="4" t="s">
        <v>212</v>
      </c>
      <c r="F125" s="5" t="s">
        <v>209</v>
      </c>
      <c r="G125" s="12" t="s">
        <v>1760</v>
      </c>
      <c r="H125" s="5" t="s">
        <v>97</v>
      </c>
      <c r="I125" s="37" t="s">
        <v>1582</v>
      </c>
      <c r="J125" s="12" t="s">
        <v>1761</v>
      </c>
      <c r="N125" t="s">
        <v>2267</v>
      </c>
    </row>
    <row r="126" spans="4:14" ht="28.8">
      <c r="D126" s="5">
        <v>100348</v>
      </c>
      <c r="E126" s="4" t="s">
        <v>220</v>
      </c>
      <c r="F126" s="5" t="s">
        <v>209</v>
      </c>
      <c r="G126" s="12" t="s">
        <v>1762</v>
      </c>
      <c r="H126" s="5" t="s">
        <v>73</v>
      </c>
      <c r="I126" s="37" t="s">
        <v>1585</v>
      </c>
      <c r="J126" s="12" t="s">
        <v>1763</v>
      </c>
      <c r="N126" t="s">
        <v>2269</v>
      </c>
    </row>
    <row r="127" spans="4:14" ht="28.8">
      <c r="D127" s="5">
        <v>111053</v>
      </c>
      <c r="E127" s="4" t="s">
        <v>220</v>
      </c>
      <c r="F127" s="5" t="s">
        <v>209</v>
      </c>
      <c r="G127" s="12" t="s">
        <v>1764</v>
      </c>
      <c r="H127" s="5" t="s">
        <v>127</v>
      </c>
      <c r="I127" s="37" t="s">
        <v>1585</v>
      </c>
      <c r="J127" s="12" t="s">
        <v>1763</v>
      </c>
      <c r="N127" t="s">
        <v>2194</v>
      </c>
    </row>
    <row r="128" spans="4:14" ht="43.2">
      <c r="D128" s="6">
        <v>111230</v>
      </c>
      <c r="E128" s="7" t="s">
        <v>238</v>
      </c>
      <c r="F128" s="5" t="s">
        <v>209</v>
      </c>
      <c r="G128" s="12" t="s">
        <v>1765</v>
      </c>
      <c r="H128" s="6" t="s">
        <v>65</v>
      </c>
      <c r="I128" s="37" t="s">
        <v>1585</v>
      </c>
      <c r="J128" s="12" t="s">
        <v>1766</v>
      </c>
      <c r="N128" t="s">
        <v>2168</v>
      </c>
    </row>
    <row r="129" spans="4:14" ht="28.8">
      <c r="D129" s="5">
        <v>100315</v>
      </c>
      <c r="E129" s="4" t="s">
        <v>213</v>
      </c>
      <c r="F129" s="5" t="s">
        <v>209</v>
      </c>
      <c r="G129" s="12" t="s">
        <v>1767</v>
      </c>
      <c r="H129" s="5" t="s">
        <v>97</v>
      </c>
      <c r="I129" s="37" t="s">
        <v>1582</v>
      </c>
      <c r="J129" s="12" t="s">
        <v>1768</v>
      </c>
      <c r="N129" t="s">
        <v>2196</v>
      </c>
    </row>
    <row r="130" spans="4:14" ht="28.8">
      <c r="D130" s="5">
        <v>100350</v>
      </c>
      <c r="E130" s="4" t="s">
        <v>221</v>
      </c>
      <c r="F130" s="5" t="s">
        <v>209</v>
      </c>
      <c r="G130" s="12" t="s">
        <v>1769</v>
      </c>
      <c r="H130" s="5" t="s">
        <v>73</v>
      </c>
      <c r="I130" s="37" t="s">
        <v>1585</v>
      </c>
      <c r="J130" s="12" t="s">
        <v>1770</v>
      </c>
      <c r="N130" t="s">
        <v>2227</v>
      </c>
    </row>
    <row r="131" spans="4:14" ht="28.8">
      <c r="D131" s="5">
        <v>110763</v>
      </c>
      <c r="E131" s="4" t="s">
        <v>221</v>
      </c>
      <c r="F131" s="5" t="s">
        <v>209</v>
      </c>
      <c r="G131" s="12" t="s">
        <v>1771</v>
      </c>
      <c r="H131" s="5" t="s">
        <v>127</v>
      </c>
      <c r="I131" s="37" t="s">
        <v>1585</v>
      </c>
      <c r="J131" s="12" t="s">
        <v>1770</v>
      </c>
      <c r="N131" t="s">
        <v>2198</v>
      </c>
    </row>
    <row r="132" spans="4:14" ht="43.2">
      <c r="D132" s="5">
        <v>110724</v>
      </c>
      <c r="E132" s="4" t="s">
        <v>236</v>
      </c>
      <c r="F132" s="5" t="s">
        <v>209</v>
      </c>
      <c r="G132" s="12" t="s">
        <v>1772</v>
      </c>
      <c r="H132" s="5" t="s">
        <v>73</v>
      </c>
      <c r="I132" s="37" t="s">
        <v>1585</v>
      </c>
      <c r="J132" s="12" t="s">
        <v>1773</v>
      </c>
      <c r="N132" t="s">
        <v>2153</v>
      </c>
    </row>
    <row r="133" spans="4:14" ht="28.8">
      <c r="D133" s="5">
        <v>110844</v>
      </c>
      <c r="E133" s="4" t="s">
        <v>237</v>
      </c>
      <c r="F133" s="5" t="s">
        <v>209</v>
      </c>
      <c r="G133" s="12" t="s">
        <v>1774</v>
      </c>
      <c r="H133" s="5" t="s">
        <v>65</v>
      </c>
      <c r="I133" s="37" t="s">
        <v>1585</v>
      </c>
      <c r="J133" s="12" t="s">
        <v>1775</v>
      </c>
      <c r="N133" t="s">
        <v>2167</v>
      </c>
    </row>
    <row r="134" spans="4:14" ht="28.8">
      <c r="D134" s="5">
        <v>100357</v>
      </c>
      <c r="E134" s="4" t="s">
        <v>226</v>
      </c>
      <c r="F134" s="5" t="s">
        <v>209</v>
      </c>
      <c r="G134" s="12" t="s">
        <v>1776</v>
      </c>
      <c r="H134" s="5" t="s">
        <v>65</v>
      </c>
      <c r="I134" s="37" t="s">
        <v>1585</v>
      </c>
      <c r="J134" s="12" t="s">
        <v>1777</v>
      </c>
      <c r="N134" t="s">
        <v>2150</v>
      </c>
    </row>
    <row r="135" spans="4:14" ht="43.2">
      <c r="D135" s="5">
        <v>100356</v>
      </c>
      <c r="E135" s="4" t="s">
        <v>225</v>
      </c>
      <c r="F135" s="5" t="s">
        <v>209</v>
      </c>
      <c r="G135" s="12" t="s">
        <v>1778</v>
      </c>
      <c r="H135" s="5" t="s">
        <v>65</v>
      </c>
      <c r="I135" s="37" t="s">
        <v>1585</v>
      </c>
      <c r="J135" s="12" t="s">
        <v>1779</v>
      </c>
      <c r="N135" t="s">
        <v>2240</v>
      </c>
    </row>
    <row r="136" spans="4:14" ht="43.2">
      <c r="D136" s="5">
        <v>100355</v>
      </c>
      <c r="E136" s="4" t="s">
        <v>224</v>
      </c>
      <c r="F136" s="5" t="s">
        <v>209</v>
      </c>
      <c r="G136" s="12" t="s">
        <v>1780</v>
      </c>
      <c r="H136" s="5" t="s">
        <v>65</v>
      </c>
      <c r="I136" s="37" t="s">
        <v>1585</v>
      </c>
      <c r="J136" s="12" t="s">
        <v>1779</v>
      </c>
      <c r="N136" t="s">
        <v>2258</v>
      </c>
    </row>
    <row r="137" spans="4:14" ht="43.2">
      <c r="D137" s="5">
        <v>100330</v>
      </c>
      <c r="E137" s="4" t="s">
        <v>923</v>
      </c>
      <c r="F137" s="5" t="s">
        <v>209</v>
      </c>
      <c r="G137" s="12" t="s">
        <v>1781</v>
      </c>
      <c r="H137" s="5" t="s">
        <v>97</v>
      </c>
      <c r="I137" s="37" t="s">
        <v>630</v>
      </c>
      <c r="J137" s="12" t="s">
        <v>927</v>
      </c>
      <c r="N137" t="s">
        <v>2263</v>
      </c>
    </row>
    <row r="138" spans="4:14" ht="43.2">
      <c r="D138" s="5">
        <v>110186</v>
      </c>
      <c r="E138" s="4" t="s">
        <v>1157</v>
      </c>
      <c r="F138" s="5" t="s">
        <v>209</v>
      </c>
      <c r="G138" s="12" t="s">
        <v>1782</v>
      </c>
      <c r="H138" s="5" t="s">
        <v>228</v>
      </c>
      <c r="I138" s="37" t="s">
        <v>630</v>
      </c>
      <c r="J138" s="12" t="s">
        <v>927</v>
      </c>
      <c r="N138" t="s">
        <v>2255</v>
      </c>
    </row>
    <row r="139" spans="4:14" ht="43.2">
      <c r="D139" s="5">
        <v>100336</v>
      </c>
      <c r="E139" s="4" t="s">
        <v>219</v>
      </c>
      <c r="F139" s="5" t="s">
        <v>209</v>
      </c>
      <c r="G139" s="36" t="s">
        <v>1783</v>
      </c>
      <c r="H139" s="5" t="s">
        <v>97</v>
      </c>
      <c r="I139" s="37" t="s">
        <v>630</v>
      </c>
      <c r="J139" s="12" t="s">
        <v>955</v>
      </c>
      <c r="N139" t="s">
        <v>2187</v>
      </c>
    </row>
    <row r="140" spans="4:14" ht="43.2">
      <c r="D140" s="5">
        <v>110177</v>
      </c>
      <c r="E140" s="4" t="s">
        <v>227</v>
      </c>
      <c r="F140" s="5" t="s">
        <v>209</v>
      </c>
      <c r="G140" s="36" t="s">
        <v>1784</v>
      </c>
      <c r="H140" s="5" t="s">
        <v>228</v>
      </c>
      <c r="I140" s="37" t="s">
        <v>630</v>
      </c>
      <c r="J140" s="12" t="s">
        <v>955</v>
      </c>
      <c r="N140" t="s">
        <v>2192</v>
      </c>
    </row>
    <row r="141" spans="4:14" ht="43.2">
      <c r="D141" s="5">
        <v>110425</v>
      </c>
      <c r="E141" s="4" t="s">
        <v>231</v>
      </c>
      <c r="F141" s="5" t="s">
        <v>209</v>
      </c>
      <c r="G141" s="36" t="s">
        <v>1785</v>
      </c>
      <c r="H141" s="5" t="s">
        <v>107</v>
      </c>
      <c r="I141" s="37" t="s">
        <v>1585</v>
      </c>
      <c r="J141" s="12" t="s">
        <v>1786</v>
      </c>
      <c r="N141" t="s">
        <v>2264</v>
      </c>
    </row>
    <row r="142" spans="4:14" ht="28.8">
      <c r="D142" s="5">
        <v>110562</v>
      </c>
      <c r="E142" s="7" t="s">
        <v>234</v>
      </c>
      <c r="F142" s="5" t="s">
        <v>209</v>
      </c>
      <c r="G142" s="36" t="s">
        <v>1787</v>
      </c>
      <c r="H142" s="6" t="s">
        <v>65</v>
      </c>
      <c r="I142" s="37" t="s">
        <v>1585</v>
      </c>
      <c r="J142" s="12" t="s">
        <v>1788</v>
      </c>
      <c r="N142" t="s">
        <v>2237</v>
      </c>
    </row>
    <row r="143" spans="4:14" ht="28.8">
      <c r="D143" s="5">
        <v>110721</v>
      </c>
      <c r="E143" s="4" t="s">
        <v>235</v>
      </c>
      <c r="F143" s="5" t="s">
        <v>209</v>
      </c>
      <c r="G143" s="36" t="s">
        <v>1789</v>
      </c>
      <c r="H143" s="6" t="s">
        <v>65</v>
      </c>
      <c r="I143" s="37" t="s">
        <v>1585</v>
      </c>
      <c r="J143" s="12" t="s">
        <v>1790</v>
      </c>
      <c r="N143" t="s">
        <v>2252</v>
      </c>
    </row>
    <row r="144" spans="4:14" ht="28.8">
      <c r="D144" s="5">
        <v>100317</v>
      </c>
      <c r="E144" s="4" t="s">
        <v>214</v>
      </c>
      <c r="F144" s="5" t="s">
        <v>209</v>
      </c>
      <c r="G144" s="36" t="s">
        <v>1791</v>
      </c>
      <c r="H144" s="5" t="s">
        <v>97</v>
      </c>
      <c r="I144" s="37" t="s">
        <v>1582</v>
      </c>
      <c r="J144" s="12" t="s">
        <v>1792</v>
      </c>
      <c r="N144" t="s">
        <v>2151</v>
      </c>
    </row>
    <row r="145" spans="4:14" ht="43.2">
      <c r="D145" s="5">
        <v>100327</v>
      </c>
      <c r="E145" s="4" t="s">
        <v>215</v>
      </c>
      <c r="F145" s="5" t="s">
        <v>209</v>
      </c>
      <c r="G145" s="36" t="s">
        <v>1793</v>
      </c>
      <c r="H145" s="5" t="s">
        <v>97</v>
      </c>
      <c r="I145" s="40" t="s">
        <v>1794</v>
      </c>
      <c r="J145" s="12" t="s">
        <v>1795</v>
      </c>
      <c r="N145" t="s">
        <v>2285</v>
      </c>
    </row>
    <row r="146" spans="4:14" ht="28.8">
      <c r="D146" s="5">
        <v>100334</v>
      </c>
      <c r="E146" s="4" t="s">
        <v>218</v>
      </c>
      <c r="F146" s="5" t="s">
        <v>209</v>
      </c>
      <c r="G146" s="36" t="s">
        <v>1796</v>
      </c>
      <c r="H146" s="5" t="s">
        <v>97</v>
      </c>
      <c r="I146" s="37" t="s">
        <v>630</v>
      </c>
      <c r="J146" s="12" t="s">
        <v>941</v>
      </c>
      <c r="N146" t="s">
        <v>2195</v>
      </c>
    </row>
    <row r="147" spans="4:14" ht="43.2">
      <c r="D147" s="5">
        <v>110187</v>
      </c>
      <c r="E147" s="4" t="s">
        <v>230</v>
      </c>
      <c r="F147" s="5" t="s">
        <v>209</v>
      </c>
      <c r="G147" s="36" t="s">
        <v>1797</v>
      </c>
      <c r="H147" s="5" t="s">
        <v>228</v>
      </c>
      <c r="I147" s="41" t="s">
        <v>758</v>
      </c>
      <c r="J147" s="12" t="s">
        <v>941</v>
      </c>
      <c r="N147" t="s">
        <v>2138</v>
      </c>
    </row>
    <row r="148" spans="4:14" ht="28.8">
      <c r="D148" s="5">
        <v>100329</v>
      </c>
      <c r="E148" s="4" t="s">
        <v>216</v>
      </c>
      <c r="F148" s="5" t="s">
        <v>209</v>
      </c>
      <c r="G148" s="36" t="s">
        <v>1798</v>
      </c>
      <c r="H148" s="5" t="s">
        <v>97</v>
      </c>
      <c r="I148" s="37" t="s">
        <v>630</v>
      </c>
      <c r="J148" s="12" t="s">
        <v>1799</v>
      </c>
      <c r="N148" t="s">
        <v>2225</v>
      </c>
    </row>
    <row r="149" spans="4:14" ht="43.2">
      <c r="D149" s="6">
        <v>111750</v>
      </c>
      <c r="E149" s="7" t="s">
        <v>240</v>
      </c>
      <c r="F149" s="6" t="s">
        <v>239</v>
      </c>
      <c r="G149" s="12" t="s">
        <v>1800</v>
      </c>
      <c r="H149" s="6" t="s">
        <v>241</v>
      </c>
      <c r="I149" s="37" t="s">
        <v>1801</v>
      </c>
      <c r="J149" s="12" t="s">
        <v>1802</v>
      </c>
      <c r="N149" t="s">
        <v>2242</v>
      </c>
    </row>
    <row r="150" spans="4:14" ht="43.2">
      <c r="D150" s="6">
        <v>110400</v>
      </c>
      <c r="E150" s="7" t="s">
        <v>242</v>
      </c>
      <c r="F150" s="6" t="s">
        <v>239</v>
      </c>
      <c r="G150" s="12" t="s">
        <v>1803</v>
      </c>
      <c r="H150" s="6" t="s">
        <v>243</v>
      </c>
      <c r="I150" s="37" t="s">
        <v>1801</v>
      </c>
      <c r="J150" s="12" t="s">
        <v>1804</v>
      </c>
      <c r="N150" t="s">
        <v>2247</v>
      </c>
    </row>
    <row r="151" spans="4:14" ht="43.2">
      <c r="D151" s="6">
        <v>110401</v>
      </c>
      <c r="E151" s="7" t="s">
        <v>244</v>
      </c>
      <c r="F151" s="6" t="s">
        <v>239</v>
      </c>
      <c r="G151" s="12" t="s">
        <v>1805</v>
      </c>
      <c r="H151" s="6" t="s">
        <v>243</v>
      </c>
      <c r="I151" s="37" t="s">
        <v>1801</v>
      </c>
      <c r="J151" s="12" t="s">
        <v>1804</v>
      </c>
      <c r="N151" t="s">
        <v>2249</v>
      </c>
    </row>
    <row r="152" spans="4:14" ht="43.2">
      <c r="D152" s="6">
        <v>110402</v>
      </c>
      <c r="E152" s="7" t="s">
        <v>240</v>
      </c>
      <c r="F152" s="6" t="s">
        <v>239</v>
      </c>
      <c r="G152" s="12" t="s">
        <v>1806</v>
      </c>
      <c r="H152" s="6" t="s">
        <v>243</v>
      </c>
      <c r="I152" s="37" t="s">
        <v>1801</v>
      </c>
      <c r="J152" s="12" t="s">
        <v>1804</v>
      </c>
      <c r="N152" t="s">
        <v>2245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AE7F53D-A681-448D-99AC-C12013E3B8CD}">
  <ds:schemaRefs>
    <ds:schemaRef ds:uri="73fb875a-8af9-4255-b008-0995492d31cd"/>
    <ds:schemaRef ds:uri="http://purl.org/dc/dcmitype/"/>
    <ds:schemaRef ds:uri="http://schemas.openxmlformats.org/package/2006/metadata/core-properties"/>
    <ds:schemaRef ds:uri="http://purl.org/dc/terms/"/>
    <ds:schemaRef ds:uri="81cb11c4-895d-4e96-aeed-f88a5a4d0be5"/>
    <ds:schemaRef ds:uri="http://www.w3.org/XML/1998/namespace"/>
    <ds:schemaRef ds:uri="http://purl.org/dc/elements/1.1/"/>
    <ds:schemaRef ds:uri="http://schemas.microsoft.com/office/2006/documentManagement/types"/>
    <ds:schemaRef ds:uri="http://schemas.microsoft.com/office/infopath/2007/PartnerControls"/>
    <ds:schemaRef ds:uri="5694d919-4725-4bdc-91db-ddd033c40ff4"/>
    <ds:schemaRef ds:uri="http://schemas.microsoft.com/office/2006/metadata/properties"/>
  </ds:schemaRefs>
</ds:datastoreItem>
</file>

<file path=customXml/itemProps3.xml><?xml version="1.0" encoding="utf-8"?>
<ds:datastoreItem xmlns:ds="http://schemas.openxmlformats.org/officeDocument/2006/customXml" ds:itemID="{AB4F7A6D-6CED-4A9F-BE4A-6D294413ADC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O'Donnell, Kathleen - FNS</cp:lastModifiedBy>
  <cp:revision/>
  <cp:lastPrinted>2025-01-10T20:39:33Z</cp:lastPrinted>
  <dcterms:created xsi:type="dcterms:W3CDTF">2020-04-24T15:02:51Z</dcterms:created>
  <dcterms:modified xsi:type="dcterms:W3CDTF">2025-02-14T16:36:00Z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